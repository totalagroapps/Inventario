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899bfed8ee2a0bb2/Desktop/cristian/archivos cristian/Inventario/"/>
    </mc:Choice>
  </mc:AlternateContent>
  <xr:revisionPtr revIDLastSave="1047" documentId="8_{1D2EDCC7-003E-4EA5-B5C3-EC64B05178E4}" xr6:coauthVersionLast="47" xr6:coauthVersionMax="47" xr10:uidLastSave="{B3E798DE-A082-49C2-A5CC-88E177A59C1C}"/>
  <bookViews>
    <workbookView xWindow="-120" yWindow="-120" windowWidth="29040" windowHeight="15720" xr2:uid="{00000000-000D-0000-FFFF-FFFF00000000}"/>
  </bookViews>
  <sheets>
    <sheet name="Hoja1" sheetId="1" r:id="rId1"/>
  </sheets>
  <externalReferences>
    <externalReference r:id="rId2"/>
  </externalReferences>
  <definedNames>
    <definedName name="_xlnm._FilterDatabase" localSheetId="0" hidden="1">Hoja1!$A$1:$E$6</definedName>
    <definedName name="ClaveProduct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9" i="1" l="1"/>
  <c r="E10" i="1"/>
  <c r="D10" i="1"/>
  <c r="E8" i="1"/>
  <c r="D8" i="1"/>
  <c r="E140" i="1"/>
  <c r="D140" i="1"/>
  <c r="C15" i="1"/>
  <c r="C16" i="1"/>
  <c r="C18" i="1"/>
  <c r="C19" i="1"/>
  <c r="C20" i="1"/>
  <c r="C21" i="1"/>
  <c r="C26" i="1"/>
  <c r="C149" i="1"/>
  <c r="F149" i="1"/>
  <c r="G149" i="1"/>
  <c r="H149" i="1"/>
  <c r="J149" i="1"/>
  <c r="C146" i="1"/>
  <c r="F146" i="1"/>
  <c r="G146" i="1"/>
  <c r="H146" i="1"/>
  <c r="J146" i="1"/>
  <c r="E189" i="1"/>
  <c r="E188" i="1"/>
  <c r="E131" i="1"/>
  <c r="E47" i="1"/>
  <c r="E48" i="1"/>
  <c r="E43" i="1"/>
  <c r="D43" i="1"/>
  <c r="I17" i="1"/>
  <c r="E74" i="1"/>
  <c r="D194" i="1"/>
  <c r="D117" i="1"/>
  <c r="D139" i="1"/>
  <c r="D133" i="1"/>
  <c r="D131" i="1"/>
  <c r="E136" i="1"/>
  <c r="E133" i="1"/>
  <c r="E194" i="1"/>
  <c r="E128" i="1"/>
  <c r="E80" i="1"/>
  <c r="E185" i="1"/>
  <c r="E147" i="1"/>
  <c r="E124" i="1"/>
  <c r="D122" i="1"/>
  <c r="E135" i="1"/>
  <c r="D24" i="1"/>
  <c r="E17" i="1"/>
  <c r="E118" i="1"/>
  <c r="D123" i="1"/>
  <c r="E183" i="1"/>
  <c r="E201" i="1"/>
  <c r="E45" i="1"/>
  <c r="C77" i="1" l="1"/>
  <c r="F77" i="1"/>
  <c r="G77" i="1"/>
  <c r="H77" i="1" s="1"/>
  <c r="D11" i="1"/>
  <c r="E42" i="1"/>
  <c r="D42" i="1"/>
  <c r="D47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7" i="1"/>
  <c r="D137" i="1"/>
  <c r="E137" i="1"/>
  <c r="G137" i="1"/>
  <c r="H137" i="1" s="1"/>
  <c r="I136" i="1"/>
  <c r="D136" i="1"/>
  <c r="G136" i="1"/>
  <c r="I138" i="1"/>
  <c r="I139" i="1"/>
  <c r="I140" i="1"/>
  <c r="I141" i="1"/>
  <c r="I142" i="1"/>
  <c r="I143" i="1"/>
  <c r="I144" i="1"/>
  <c r="I145" i="1"/>
  <c r="G145" i="1"/>
  <c r="I147" i="1"/>
  <c r="I148" i="1"/>
  <c r="I150" i="1"/>
  <c r="I151" i="1"/>
  <c r="I152" i="1"/>
  <c r="I153" i="1"/>
  <c r="I154" i="1"/>
  <c r="G154" i="1"/>
  <c r="I155" i="1"/>
  <c r="G155" i="1"/>
  <c r="H155" i="1" s="1"/>
  <c r="I156" i="1"/>
  <c r="I157" i="1"/>
  <c r="G157" i="1"/>
  <c r="H157" i="1" s="1"/>
  <c r="I158" i="1"/>
  <c r="I159" i="1"/>
  <c r="I160" i="1"/>
  <c r="I161" i="1"/>
  <c r="I162" i="1"/>
  <c r="G162" i="1"/>
  <c r="H162" i="1" s="1"/>
  <c r="I163" i="1"/>
  <c r="G163" i="1"/>
  <c r="I164" i="1"/>
  <c r="I165" i="1"/>
  <c r="I166" i="1"/>
  <c r="I167" i="1"/>
  <c r="I168" i="1"/>
  <c r="I169" i="1"/>
  <c r="I170" i="1"/>
  <c r="G170" i="1"/>
  <c r="H170" i="1" s="1"/>
  <c r="I171" i="1"/>
  <c r="G171" i="1"/>
  <c r="I172" i="1"/>
  <c r="I173" i="1"/>
  <c r="G173" i="1"/>
  <c r="H173" i="1" s="1"/>
  <c r="I174" i="1"/>
  <c r="I175" i="1"/>
  <c r="I176" i="1"/>
  <c r="I177" i="1"/>
  <c r="I178" i="1"/>
  <c r="D178" i="1"/>
  <c r="E178" i="1"/>
  <c r="G178" i="1"/>
  <c r="H178" i="1" s="1"/>
  <c r="I179" i="1"/>
  <c r="G179" i="1"/>
  <c r="I180" i="1"/>
  <c r="I181" i="1"/>
  <c r="G181" i="1"/>
  <c r="I182" i="1"/>
  <c r="I183" i="1"/>
  <c r="I184" i="1"/>
  <c r="I185" i="1"/>
  <c r="I186" i="1"/>
  <c r="D186" i="1"/>
  <c r="G186" i="1"/>
  <c r="H186" i="1" s="1"/>
  <c r="I187" i="1"/>
  <c r="G187" i="1"/>
  <c r="I188" i="1"/>
  <c r="I189" i="1"/>
  <c r="D189" i="1"/>
  <c r="G189" i="1"/>
  <c r="H189" i="1" s="1"/>
  <c r="I190" i="1"/>
  <c r="I191" i="1"/>
  <c r="I192" i="1"/>
  <c r="I193" i="1"/>
  <c r="I194" i="1"/>
  <c r="G194" i="1"/>
  <c r="I195" i="1"/>
  <c r="G195" i="1"/>
  <c r="H195" i="1" s="1"/>
  <c r="I196" i="1"/>
  <c r="I197" i="1"/>
  <c r="G197" i="1"/>
  <c r="I198" i="1"/>
  <c r="I199" i="1"/>
  <c r="I200" i="1"/>
  <c r="I201" i="1"/>
  <c r="I202" i="1"/>
  <c r="G202" i="1"/>
  <c r="I203" i="1"/>
  <c r="G203" i="1"/>
  <c r="H203" i="1" s="1"/>
  <c r="I204" i="1"/>
  <c r="I205" i="1"/>
  <c r="G205" i="1"/>
  <c r="I206" i="1"/>
  <c r="G206" i="1"/>
  <c r="I207" i="1"/>
  <c r="I208" i="1"/>
  <c r="I209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2" i="1"/>
  <c r="E138" i="1"/>
  <c r="G138" i="1"/>
  <c r="H138" i="1" s="1"/>
  <c r="G139" i="1"/>
  <c r="G140" i="1"/>
  <c r="G141" i="1"/>
  <c r="H141" i="1" s="1"/>
  <c r="D142" i="1"/>
  <c r="E142" i="1"/>
  <c r="G142" i="1"/>
  <c r="G143" i="1"/>
  <c r="H143" i="1" s="1"/>
  <c r="G144" i="1"/>
  <c r="H144" i="1" s="1"/>
  <c r="G147" i="1"/>
  <c r="H147" i="1" s="1"/>
  <c r="D148" i="1"/>
  <c r="E148" i="1"/>
  <c r="G148" i="1"/>
  <c r="J148" i="1" s="1"/>
  <c r="D150" i="1"/>
  <c r="G150" i="1"/>
  <c r="D151" i="1"/>
  <c r="G151" i="1"/>
  <c r="D152" i="1"/>
  <c r="E152" i="1"/>
  <c r="G152" i="1"/>
  <c r="H152" i="1" s="1"/>
  <c r="G153" i="1"/>
  <c r="H153" i="1" s="1"/>
  <c r="G156" i="1"/>
  <c r="D158" i="1"/>
  <c r="G158" i="1"/>
  <c r="G159" i="1"/>
  <c r="J159" i="1" s="1"/>
  <c r="G160" i="1"/>
  <c r="J160" i="1" s="1"/>
  <c r="G161" i="1"/>
  <c r="G164" i="1"/>
  <c r="H164" i="1" s="1"/>
  <c r="G165" i="1"/>
  <c r="H165" i="1" s="1"/>
  <c r="G166" i="1"/>
  <c r="H166" i="1" s="1"/>
  <c r="G167" i="1"/>
  <c r="G168" i="1"/>
  <c r="H168" i="1" s="1"/>
  <c r="G169" i="1"/>
  <c r="G172" i="1"/>
  <c r="G174" i="1"/>
  <c r="G175" i="1"/>
  <c r="G176" i="1"/>
  <c r="H176" i="1" s="1"/>
  <c r="G177" i="1"/>
  <c r="H177" i="1" s="1"/>
  <c r="G180" i="1"/>
  <c r="D182" i="1"/>
  <c r="G182" i="1"/>
  <c r="J182" i="1" s="1"/>
  <c r="D183" i="1"/>
  <c r="G183" i="1"/>
  <c r="H183" i="1" s="1"/>
  <c r="G184" i="1"/>
  <c r="H184" i="1" s="1"/>
  <c r="D185" i="1"/>
  <c r="G185" i="1"/>
  <c r="D188" i="1"/>
  <c r="G188" i="1"/>
  <c r="G190" i="1"/>
  <c r="G191" i="1"/>
  <c r="H191" i="1" s="1"/>
  <c r="G192" i="1"/>
  <c r="J192" i="1" s="1"/>
  <c r="D193" i="1"/>
  <c r="G193" i="1"/>
  <c r="J193" i="1" s="1"/>
  <c r="D196" i="1"/>
  <c r="G196" i="1"/>
  <c r="J196" i="1" s="1"/>
  <c r="G198" i="1"/>
  <c r="H198" i="1" s="1"/>
  <c r="G199" i="1"/>
  <c r="H199" i="1" s="1"/>
  <c r="D200" i="1"/>
  <c r="G200" i="1"/>
  <c r="H200" i="1" s="1"/>
  <c r="G201" i="1"/>
  <c r="G204" i="1"/>
  <c r="H204" i="1" s="1"/>
  <c r="G207" i="1"/>
  <c r="H207" i="1" s="1"/>
  <c r="G208" i="1"/>
  <c r="H208" i="1" s="1"/>
  <c r="G209" i="1"/>
  <c r="C137" i="1"/>
  <c r="F143" i="1"/>
  <c r="C143" i="1"/>
  <c r="E125" i="1"/>
  <c r="E117" i="1"/>
  <c r="E71" i="1"/>
  <c r="E27" i="1"/>
  <c r="E23" i="1"/>
  <c r="E7" i="1"/>
  <c r="D23" i="1"/>
  <c r="C123" i="1"/>
  <c r="F123" i="1"/>
  <c r="G123" i="1"/>
  <c r="H123" i="1" s="1"/>
  <c r="D93" i="1"/>
  <c r="D80" i="1"/>
  <c r="D74" i="1"/>
  <c r="F137" i="1"/>
  <c r="F17" i="1"/>
  <c r="F139" i="1"/>
  <c r="D73" i="1"/>
  <c r="G73" i="1"/>
  <c r="H73" i="1" s="1"/>
  <c r="B210" i="1"/>
  <c r="C206" i="1"/>
  <c r="C117" i="1"/>
  <c r="F117" i="1"/>
  <c r="G117" i="1"/>
  <c r="H117" i="1" s="1"/>
  <c r="C199" i="1"/>
  <c r="F199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8" i="1"/>
  <c r="F19" i="1"/>
  <c r="F20" i="1"/>
  <c r="F21" i="1"/>
  <c r="F22" i="1"/>
  <c r="F23" i="1"/>
  <c r="F24" i="1"/>
  <c r="F25" i="1"/>
  <c r="F26" i="1"/>
  <c r="F27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8" i="1"/>
  <c r="F119" i="1"/>
  <c r="F120" i="1"/>
  <c r="F121" i="1"/>
  <c r="F122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8" i="1"/>
  <c r="F140" i="1"/>
  <c r="F141" i="1"/>
  <c r="F142" i="1"/>
  <c r="F144" i="1"/>
  <c r="F145" i="1"/>
  <c r="F147" i="1"/>
  <c r="F148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200" i="1"/>
  <c r="F201" i="1"/>
  <c r="F202" i="1"/>
  <c r="F203" i="1"/>
  <c r="F204" i="1"/>
  <c r="F205" i="1"/>
  <c r="F206" i="1"/>
  <c r="F207" i="1"/>
  <c r="F208" i="1"/>
  <c r="F209" i="1"/>
  <c r="F98" i="1"/>
  <c r="F28" i="1"/>
  <c r="C98" i="1"/>
  <c r="C28" i="1"/>
  <c r="C209" i="1"/>
  <c r="C205" i="1"/>
  <c r="G98" i="1"/>
  <c r="H98" i="1" s="1"/>
  <c r="G28" i="1"/>
  <c r="H28" i="1" s="1"/>
  <c r="G2" i="1"/>
  <c r="H2" i="1" s="1"/>
  <c r="G3" i="1"/>
  <c r="H3" i="1" s="1"/>
  <c r="G4" i="1"/>
  <c r="H4" i="1" s="1"/>
  <c r="D5" i="1"/>
  <c r="G5" i="1"/>
  <c r="H5" i="1" s="1"/>
  <c r="G6" i="1"/>
  <c r="H6" i="1" s="1"/>
  <c r="D7" i="1"/>
  <c r="G7" i="1"/>
  <c r="H7" i="1" s="1"/>
  <c r="G8" i="1"/>
  <c r="H8" i="1" s="1"/>
  <c r="G9" i="1"/>
  <c r="H9" i="1" s="1"/>
  <c r="G10" i="1"/>
  <c r="H10" i="1" s="1"/>
  <c r="G11" i="1"/>
  <c r="G12" i="1"/>
  <c r="H12" i="1" s="1"/>
  <c r="G13" i="1"/>
  <c r="H13" i="1" s="1"/>
  <c r="D14" i="1"/>
  <c r="G14" i="1"/>
  <c r="H14" i="1" s="1"/>
  <c r="G15" i="1"/>
  <c r="H15" i="1" s="1"/>
  <c r="G16" i="1"/>
  <c r="H16" i="1" s="1"/>
  <c r="D17" i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D25" i="1"/>
  <c r="G25" i="1"/>
  <c r="H25" i="1" s="1"/>
  <c r="G26" i="1"/>
  <c r="H26" i="1" s="1"/>
  <c r="D27" i="1"/>
  <c r="G27" i="1"/>
  <c r="H27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G35" i="1"/>
  <c r="G36" i="1"/>
  <c r="H36" i="1" s="1"/>
  <c r="G37" i="1"/>
  <c r="G38" i="1"/>
  <c r="H38" i="1" s="1"/>
  <c r="G39" i="1"/>
  <c r="G40" i="1"/>
  <c r="H40" i="1" s="1"/>
  <c r="G41" i="1"/>
  <c r="H41" i="1" s="1"/>
  <c r="G42" i="1"/>
  <c r="H42" i="1" s="1"/>
  <c r="D44" i="1"/>
  <c r="G44" i="1"/>
  <c r="H44" i="1" s="1"/>
  <c r="D45" i="1"/>
  <c r="G45" i="1"/>
  <c r="H45" i="1" s="1"/>
  <c r="G46" i="1"/>
  <c r="H46" i="1" s="1"/>
  <c r="D48" i="1"/>
  <c r="G48" i="1"/>
  <c r="H48" i="1" s="1"/>
  <c r="D49" i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G56" i="1"/>
  <c r="G57" i="1"/>
  <c r="H57" i="1" s="1"/>
  <c r="G58" i="1"/>
  <c r="H58" i="1" s="1"/>
  <c r="G59" i="1"/>
  <c r="H59" i="1" s="1"/>
  <c r="G60" i="1"/>
  <c r="G61" i="1"/>
  <c r="H61" i="1" s="1"/>
  <c r="G62" i="1"/>
  <c r="H62" i="1" s="1"/>
  <c r="G63" i="1"/>
  <c r="H63" i="1" s="1"/>
  <c r="G64" i="1"/>
  <c r="G65" i="1"/>
  <c r="H65" i="1" s="1"/>
  <c r="G66" i="1"/>
  <c r="H66" i="1" s="1"/>
  <c r="G67" i="1"/>
  <c r="G68" i="1"/>
  <c r="H68" i="1" s="1"/>
  <c r="G69" i="1"/>
  <c r="H69" i="1" s="1"/>
  <c r="G70" i="1"/>
  <c r="H70" i="1" s="1"/>
  <c r="D71" i="1"/>
  <c r="G71" i="1"/>
  <c r="H71" i="1" s="1"/>
  <c r="G72" i="1"/>
  <c r="H72" i="1" s="1"/>
  <c r="G74" i="1"/>
  <c r="H74" i="1" s="1"/>
  <c r="G75" i="1"/>
  <c r="H75" i="1" s="1"/>
  <c r="G76" i="1"/>
  <c r="H76" i="1" s="1"/>
  <c r="G78" i="1"/>
  <c r="H78" i="1" s="1"/>
  <c r="G79" i="1"/>
  <c r="H79" i="1" s="1"/>
  <c r="G80" i="1"/>
  <c r="H80" i="1" s="1"/>
  <c r="D81" i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9" i="1"/>
  <c r="H99" i="1" s="1"/>
  <c r="G100" i="1"/>
  <c r="H100" i="1" s="1"/>
  <c r="D101" i="1"/>
  <c r="G101" i="1"/>
  <c r="H101" i="1" s="1"/>
  <c r="G102" i="1"/>
  <c r="H102" i="1" s="1"/>
  <c r="G103" i="1"/>
  <c r="H103" i="1" s="1"/>
  <c r="G104" i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D111" i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8" i="1"/>
  <c r="H118" i="1" s="1"/>
  <c r="D119" i="1"/>
  <c r="G119" i="1"/>
  <c r="H119" i="1" s="1"/>
  <c r="G120" i="1"/>
  <c r="H120" i="1" s="1"/>
  <c r="D121" i="1"/>
  <c r="G121" i="1"/>
  <c r="H121" i="1" s="1"/>
  <c r="G122" i="1"/>
  <c r="H122" i="1" s="1"/>
  <c r="D124" i="1"/>
  <c r="G124" i="1"/>
  <c r="J124" i="1" s="1"/>
  <c r="D125" i="1"/>
  <c r="G125" i="1"/>
  <c r="G126" i="1"/>
  <c r="D127" i="1"/>
  <c r="G127" i="1"/>
  <c r="H127" i="1" s="1"/>
  <c r="D128" i="1"/>
  <c r="G128" i="1"/>
  <c r="H128" i="1" s="1"/>
  <c r="G129" i="1"/>
  <c r="G130" i="1"/>
  <c r="H130" i="1" s="1"/>
  <c r="G131" i="1"/>
  <c r="H131" i="1" s="1"/>
  <c r="G132" i="1"/>
  <c r="H132" i="1" s="1"/>
  <c r="G133" i="1"/>
  <c r="H133" i="1" s="1"/>
  <c r="D134" i="1"/>
  <c r="G134" i="1"/>
  <c r="J134" i="1" s="1"/>
  <c r="D135" i="1"/>
  <c r="G135" i="1"/>
  <c r="H135" i="1" s="1"/>
  <c r="H145" i="1"/>
  <c r="H150" i="1"/>
  <c r="H154" i="1"/>
  <c r="H156" i="1"/>
  <c r="H163" i="1"/>
  <c r="H171" i="1"/>
  <c r="H179" i="1"/>
  <c r="H181" i="1"/>
  <c r="H187" i="1"/>
  <c r="H194" i="1"/>
  <c r="H197" i="1"/>
  <c r="H202" i="1"/>
  <c r="H205" i="1"/>
  <c r="H206" i="1"/>
  <c r="C104" i="1"/>
  <c r="C91" i="1"/>
  <c r="C197" i="1"/>
  <c r="C198" i="1"/>
  <c r="C161" i="1"/>
  <c r="C164" i="1"/>
  <c r="C162" i="1"/>
  <c r="C193" i="1"/>
  <c r="C203" i="1"/>
  <c r="C9" i="1"/>
  <c r="C187" i="1"/>
  <c r="C93" i="1"/>
  <c r="C202" i="1"/>
  <c r="C106" i="1"/>
  <c r="C90" i="1"/>
  <c r="C157" i="1"/>
  <c r="C155" i="1"/>
  <c r="C156" i="1"/>
  <c r="C173" i="1"/>
  <c r="C175" i="1"/>
  <c r="C46" i="1"/>
  <c r="C190" i="1"/>
  <c r="C174" i="1"/>
  <c r="C186" i="1"/>
  <c r="C118" i="1"/>
  <c r="C110" i="1"/>
  <c r="C84" i="1"/>
  <c r="C88" i="1"/>
  <c r="C115" i="1"/>
  <c r="C103" i="1"/>
  <c r="C178" i="1"/>
  <c r="C113" i="1"/>
  <c r="C6" i="1"/>
  <c r="C114" i="1"/>
  <c r="C111" i="1"/>
  <c r="C109" i="1"/>
  <c r="C70" i="1"/>
  <c r="C153" i="1"/>
  <c r="C120" i="1"/>
  <c r="C101" i="1"/>
  <c r="C180" i="1"/>
  <c r="C177" i="1"/>
  <c r="C53" i="1"/>
  <c r="C133" i="1"/>
  <c r="C184" i="1"/>
  <c r="C179" i="1"/>
  <c r="C183" i="1"/>
  <c r="C72" i="1"/>
  <c r="C74" i="1"/>
  <c r="C43" i="1"/>
  <c r="C167" i="1"/>
  <c r="C14" i="1"/>
  <c r="C182" i="1"/>
  <c r="C163" i="1"/>
  <c r="C145" i="1"/>
  <c r="C169" i="1"/>
  <c r="C196" i="1"/>
  <c r="C134" i="1"/>
  <c r="C185" i="1"/>
  <c r="C132" i="1"/>
  <c r="C81" i="1"/>
  <c r="C45" i="1"/>
  <c r="C121" i="1"/>
  <c r="C119" i="1"/>
  <c r="C130" i="1"/>
  <c r="C107" i="1"/>
  <c r="C12" i="1"/>
  <c r="C85" i="1"/>
  <c r="C108" i="1"/>
  <c r="C168" i="1"/>
  <c r="C2" i="1"/>
  <c r="C200" i="1"/>
  <c r="C207" i="1"/>
  <c r="C208" i="1"/>
  <c r="C204" i="1"/>
  <c r="C181" i="1"/>
  <c r="C129" i="1"/>
  <c r="C73" i="1"/>
  <c r="C191" i="1"/>
  <c r="C83" i="1"/>
  <c r="C80" i="1"/>
  <c r="C76" i="1"/>
  <c r="C78" i="1"/>
  <c r="C79" i="1"/>
  <c r="C82" i="1"/>
  <c r="C127" i="1"/>
  <c r="C139" i="1"/>
  <c r="C151" i="1"/>
  <c r="C150" i="1"/>
  <c r="C140" i="1"/>
  <c r="C189" i="1"/>
  <c r="C141" i="1"/>
  <c r="C138" i="1"/>
  <c r="C159" i="1"/>
  <c r="C126" i="1"/>
  <c r="C158" i="1"/>
  <c r="C8" i="1"/>
  <c r="C152" i="1"/>
  <c r="C47" i="1"/>
  <c r="C201" i="1"/>
  <c r="C144" i="1"/>
  <c r="C125" i="1"/>
  <c r="C165" i="1"/>
  <c r="C112" i="1"/>
  <c r="C4" i="1"/>
  <c r="C5" i="1"/>
  <c r="C10" i="1"/>
  <c r="C11" i="1"/>
  <c r="C7" i="1"/>
  <c r="C17" i="1"/>
  <c r="C23" i="1"/>
  <c r="C24" i="1"/>
  <c r="C25" i="1"/>
  <c r="C27" i="1"/>
  <c r="C30" i="1"/>
  <c r="C31" i="1"/>
  <c r="C32" i="1"/>
  <c r="C37" i="1"/>
  <c r="C38" i="1"/>
  <c r="C39" i="1"/>
  <c r="C40" i="1"/>
  <c r="C44" i="1"/>
  <c r="C51" i="1"/>
  <c r="C49" i="1"/>
  <c r="C48" i="1"/>
  <c r="C42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71" i="1"/>
  <c r="C75" i="1"/>
  <c r="C86" i="1"/>
  <c r="C87" i="1"/>
  <c r="C89" i="1"/>
  <c r="C3" i="1"/>
  <c r="C13" i="1"/>
  <c r="C22" i="1"/>
  <c r="C41" i="1"/>
  <c r="C50" i="1"/>
  <c r="C52" i="1"/>
  <c r="C92" i="1"/>
  <c r="C96" i="1"/>
  <c r="C97" i="1"/>
  <c r="C99" i="1"/>
  <c r="C100" i="1"/>
  <c r="C116" i="1"/>
  <c r="C122" i="1"/>
  <c r="C124" i="1"/>
  <c r="C128" i="1"/>
  <c r="C131" i="1"/>
  <c r="C135" i="1"/>
  <c r="C136" i="1"/>
  <c r="C142" i="1"/>
  <c r="C147" i="1"/>
  <c r="C148" i="1"/>
  <c r="C154" i="1"/>
  <c r="C160" i="1"/>
  <c r="C166" i="1"/>
  <c r="C188" i="1"/>
  <c r="C192" i="1"/>
  <c r="C194" i="1"/>
  <c r="C195" i="1"/>
  <c r="D210" i="1"/>
  <c r="G17" i="1"/>
  <c r="H17" i="1" s="1"/>
  <c r="G47" i="1"/>
  <c r="H47" i="1" s="1"/>
  <c r="G43" i="1"/>
  <c r="H43" i="1" s="1"/>
  <c r="H136" i="1"/>
  <c r="E210" i="1"/>
  <c r="J142" i="1" l="1"/>
  <c r="J172" i="1"/>
  <c r="J175" i="1"/>
  <c r="J151" i="1"/>
  <c r="J56" i="1"/>
  <c r="J37" i="1"/>
  <c r="J64" i="1"/>
  <c r="J205" i="1"/>
  <c r="J202" i="1"/>
  <c r="J181" i="1"/>
  <c r="J171" i="1"/>
  <c r="J136" i="1"/>
  <c r="J117" i="1"/>
  <c r="J203" i="1"/>
  <c r="J34" i="1"/>
  <c r="J139" i="1"/>
  <c r="J161" i="1"/>
  <c r="J129" i="1"/>
  <c r="J209" i="1"/>
  <c r="J188" i="1"/>
  <c r="J167" i="1"/>
  <c r="J201" i="1"/>
  <c r="J189" i="1"/>
  <c r="J125" i="1"/>
  <c r="J180" i="1"/>
  <c r="J170" i="1"/>
  <c r="J163" i="1"/>
  <c r="J157" i="1"/>
  <c r="J109" i="1"/>
  <c r="H182" i="1"/>
  <c r="J132" i="1"/>
  <c r="J153" i="1"/>
  <c r="J158" i="1"/>
  <c r="J39" i="1"/>
  <c r="J126" i="1"/>
  <c r="J104" i="1"/>
  <c r="J55" i="1"/>
  <c r="J190" i="1"/>
  <c r="J101" i="1"/>
  <c r="J85" i="1"/>
  <c r="J122" i="1"/>
  <c r="J63" i="1"/>
  <c r="H209" i="1"/>
  <c r="J76" i="1"/>
  <c r="J68" i="1"/>
  <c r="J36" i="1"/>
  <c r="J28" i="1"/>
  <c r="J20" i="1"/>
  <c r="J12" i="1"/>
  <c r="J4" i="1"/>
  <c r="J150" i="1"/>
  <c r="J123" i="1"/>
  <c r="H125" i="1"/>
  <c r="J100" i="1"/>
  <c r="J84" i="1"/>
  <c r="J59" i="1"/>
  <c r="J51" i="1"/>
  <c r="J19" i="1"/>
  <c r="J204" i="1"/>
  <c r="J46" i="1"/>
  <c r="J29" i="1"/>
  <c r="J23" i="1"/>
  <c r="J57" i="1"/>
  <c r="J169" i="1"/>
  <c r="J168" i="1"/>
  <c r="J5" i="1"/>
  <c r="J96" i="1"/>
  <c r="H139" i="1"/>
  <c r="J186" i="1"/>
  <c r="H193" i="1"/>
  <c r="H151" i="1"/>
  <c r="H129" i="1"/>
  <c r="J67" i="1"/>
  <c r="J200" i="1"/>
  <c r="J173" i="1"/>
  <c r="J155" i="1"/>
  <c r="J137" i="1"/>
  <c r="H201" i="1"/>
  <c r="J156" i="1"/>
  <c r="J187" i="1"/>
  <c r="J178" i="1"/>
  <c r="J154" i="1"/>
  <c r="J11" i="1"/>
  <c r="J140" i="1"/>
  <c r="H188" i="1"/>
  <c r="H161" i="1"/>
  <c r="J60" i="1"/>
  <c r="J21" i="1"/>
  <c r="J185" i="1"/>
  <c r="J7" i="1"/>
  <c r="J13" i="1"/>
  <c r="J69" i="1"/>
  <c r="H142" i="1"/>
  <c r="J174" i="1"/>
  <c r="J130" i="1"/>
  <c r="H196" i="1"/>
  <c r="J35" i="1"/>
  <c r="J78" i="1"/>
  <c r="J53" i="1"/>
  <c r="H158" i="1"/>
  <c r="H148" i="1"/>
  <c r="H134" i="1"/>
  <c r="J164" i="1"/>
  <c r="J127" i="1"/>
  <c r="H180" i="1"/>
  <c r="H169" i="1"/>
  <c r="J115" i="1"/>
  <c r="J99" i="1"/>
  <c r="J98" i="1"/>
  <c r="J108" i="1"/>
  <c r="J75" i="1"/>
  <c r="J27" i="1"/>
  <c r="H60" i="1"/>
  <c r="H55" i="1"/>
  <c r="C210" i="1"/>
  <c r="H175" i="1"/>
  <c r="H124" i="1"/>
  <c r="J15" i="1"/>
  <c r="H34" i="1"/>
  <c r="J93" i="1"/>
  <c r="H192" i="1"/>
  <c r="H64" i="1"/>
  <c r="H104" i="1"/>
  <c r="H56" i="1"/>
  <c r="H39" i="1"/>
  <c r="H35" i="1"/>
  <c r="J183" i="1"/>
  <c r="J177" i="1"/>
  <c r="J143" i="1"/>
  <c r="J2" i="1"/>
  <c r="J107" i="1"/>
  <c r="J91" i="1"/>
  <c r="J74" i="1"/>
  <c r="J66" i="1"/>
  <c r="J58" i="1"/>
  <c r="J50" i="1"/>
  <c r="J42" i="1"/>
  <c r="J43" i="1"/>
  <c r="J114" i="1"/>
  <c r="J106" i="1"/>
  <c r="J90" i="1"/>
  <c r="J82" i="1"/>
  <c r="J73" i="1"/>
  <c r="J65" i="1"/>
  <c r="J49" i="1"/>
  <c r="J41" i="1"/>
  <c r="J33" i="1"/>
  <c r="J25" i="1"/>
  <c r="J17" i="1"/>
  <c r="J9" i="1"/>
  <c r="J208" i="1"/>
  <c r="J197" i="1"/>
  <c r="J166" i="1"/>
  <c r="J138" i="1"/>
  <c r="J128" i="1"/>
  <c r="J44" i="1"/>
  <c r="J88" i="1"/>
  <c r="J121" i="1"/>
  <c r="J113" i="1"/>
  <c r="J105" i="1"/>
  <c r="J97" i="1"/>
  <c r="J89" i="1"/>
  <c r="J81" i="1"/>
  <c r="J72" i="1"/>
  <c r="J48" i="1"/>
  <c r="J40" i="1"/>
  <c r="J32" i="1"/>
  <c r="J24" i="1"/>
  <c r="J16" i="1"/>
  <c r="J8" i="1"/>
  <c r="J207" i="1"/>
  <c r="J191" i="1"/>
  <c r="J165" i="1"/>
  <c r="J145" i="1"/>
  <c r="J61" i="1"/>
  <c r="J135" i="1"/>
  <c r="J31" i="1"/>
  <c r="H160" i="1"/>
  <c r="J112" i="1"/>
  <c r="J80" i="1"/>
  <c r="J71" i="1"/>
  <c r="J144" i="1"/>
  <c r="J77" i="1"/>
  <c r="J47" i="1"/>
  <c r="J18" i="1"/>
  <c r="J120" i="1"/>
  <c r="J26" i="1"/>
  <c r="J45" i="1"/>
  <c r="H126" i="1"/>
  <c r="H185" i="1"/>
  <c r="J83" i="1"/>
  <c r="H167" i="1"/>
  <c r="H159" i="1"/>
  <c r="H140" i="1"/>
  <c r="H67" i="1"/>
  <c r="H37" i="1"/>
  <c r="J119" i="1"/>
  <c r="J111" i="1"/>
  <c r="J103" i="1"/>
  <c r="J95" i="1"/>
  <c r="J87" i="1"/>
  <c r="J79" i="1"/>
  <c r="J70" i="1"/>
  <c r="J62" i="1"/>
  <c r="J54" i="1"/>
  <c r="J38" i="1"/>
  <c r="J30" i="1"/>
  <c r="J22" i="1"/>
  <c r="J14" i="1"/>
  <c r="J6" i="1"/>
  <c r="J206" i="1"/>
  <c r="J195" i="1"/>
  <c r="J176" i="1"/>
  <c r="J152" i="1"/>
  <c r="J3" i="1"/>
  <c r="H174" i="1"/>
  <c r="J147" i="1"/>
  <c r="J118" i="1"/>
  <c r="J110" i="1"/>
  <c r="J102" i="1"/>
  <c r="J94" i="1"/>
  <c r="J86" i="1"/>
  <c r="J199" i="1"/>
  <c r="J179" i="1"/>
  <c r="J141" i="1"/>
  <c r="J131" i="1"/>
  <c r="J52" i="1"/>
  <c r="H190" i="1"/>
  <c r="H172" i="1"/>
  <c r="J116" i="1"/>
  <c r="J92" i="1"/>
  <c r="J198" i="1"/>
  <c r="J184" i="1"/>
  <c r="J162" i="1"/>
  <c r="F210" i="1"/>
  <c r="J10" i="1"/>
  <c r="J133" i="1"/>
  <c r="G210" i="1"/>
  <c r="J194" i="1"/>
  <c r="H11" i="1"/>
  <c r="I210" i="1"/>
  <c r="H210" i="1" l="1"/>
  <c r="J210" i="1"/>
</calcChain>
</file>

<file path=xl/sharedStrings.xml><?xml version="1.0" encoding="utf-8"?>
<sst xmlns="http://schemas.openxmlformats.org/spreadsheetml/2006/main" count="219" uniqueCount="219">
  <si>
    <t>Referencia</t>
  </si>
  <si>
    <t>Peso unitario (gr)</t>
  </si>
  <si>
    <t>Peso x 100 (gr)</t>
  </si>
  <si>
    <t>Cantidad total (un)</t>
  </si>
  <si>
    <t>Entregadas</t>
  </si>
  <si>
    <t>Peso entregadas (kg)</t>
  </si>
  <si>
    <t>Total disponibles</t>
  </si>
  <si>
    <t>Peso total (kg)</t>
  </si>
  <si>
    <t>Precio unitario</t>
  </si>
  <si>
    <t>Precio Total</t>
  </si>
  <si>
    <t>ABRAZADERA PARA TUBO</t>
  </si>
  <si>
    <t>ARANDELA 1/2" GRADO 5</t>
  </si>
  <si>
    <t>ARANDELA 1/4" ACERO INOXIDABLE</t>
  </si>
  <si>
    <t>ARANDELA 5/16" ACERO INOXIDABLE</t>
  </si>
  <si>
    <t>ARANDELA 9/16 GRADO 5</t>
  </si>
  <si>
    <t>ARANDELA GALVANIZADA 1/2"</t>
  </si>
  <si>
    <t>ARANDELA GALVANIZADA 1/4"</t>
  </si>
  <si>
    <t>ARANDELA GALVANIZADA 3/4</t>
  </si>
  <si>
    <t>ARANDELA GALVANIZADA 3/8"</t>
  </si>
  <si>
    <t>ARANDELA GALVANIZADA 5/16"</t>
  </si>
  <si>
    <t>ARANDELA GALVANIZADA 5/8"</t>
  </si>
  <si>
    <t xml:space="preserve">ARANDELA GALVANIZADA 5MM </t>
  </si>
  <si>
    <t>ARANDELA GALVANIZADA 7/16"</t>
  </si>
  <si>
    <t>BANDA B67</t>
  </si>
  <si>
    <t>CABLE DE ALIMENTACIÓN ENCAUCHETADO 3*18; 2m</t>
  </si>
  <si>
    <t>CADENA ESLABONADA (132 ESLABONES)</t>
  </si>
  <si>
    <t>CAMISA DE COBRE LARGO: 317 mm ANCHO: 240 mm</t>
  </si>
  <si>
    <t>CAMISAS DE COBRE: ANCHO 260 mm LARGO 730 mm; ANCHO 130 mm LARGO 730 mm</t>
  </si>
  <si>
    <t>CAUCHO ESPUMADO</t>
  </si>
  <si>
    <t>CAUCHOS PATAS</t>
  </si>
  <si>
    <t>CHAZOS DE EXPANSIÓN 4"</t>
  </si>
  <si>
    <t>CHUMACERA DE PARED DOS HUECOS UCFL204-12 EJE ϕ3/4"</t>
  </si>
  <si>
    <t>CHUMACERA DE PARED DOS HUECOS UCFL205-14 EJE ϕ7/8"</t>
  </si>
  <si>
    <t>CHUMACERA DE PEDESTAL 2 HUECOS EJE 3/4" UCP 204-12</t>
  </si>
  <si>
    <t>CHUMACERA F2B 108-LF-AH</t>
  </si>
  <si>
    <t>CHUMACERA UCFL 205-16</t>
  </si>
  <si>
    <t>CHUMACERA UCFL206-18</t>
  </si>
  <si>
    <t xml:space="preserve">CHUMACERA UPC 205-16 </t>
  </si>
  <si>
    <t>CORREA A-53</t>
  </si>
  <si>
    <t>CORREA B 53</t>
  </si>
  <si>
    <t>CORREA TIPO A 55</t>
  </si>
  <si>
    <t>CUÑA 1/4" X 3"</t>
  </si>
  <si>
    <t>CUÑA 5/16" X 2.95"</t>
  </si>
  <si>
    <t>CUÑA 5/16" X 3"</t>
  </si>
  <si>
    <t>eje 1" 1/2" acero 1045 x 355mm</t>
  </si>
  <si>
    <t>EJE ϕ1 1/2" ACERO 1020 * 25 mm</t>
  </si>
  <si>
    <t>EJE ϕ2 3/4" ACERO 1020 * 30 mm</t>
  </si>
  <si>
    <t>EJE ϕ3/4" ACERO 1020 - 1290 mm</t>
  </si>
  <si>
    <t>ENCENDEDOR MARCHA-PARO</t>
  </si>
  <si>
    <t>FLANCHER LH SIN ROSCA</t>
  </si>
  <si>
    <t>GUASA 1/2" GRADO 5</t>
  </si>
  <si>
    <t>GUASA 5/16 GRADO 5</t>
  </si>
  <si>
    <t>GUASA ACERO INOXIDABLE DE 5/16"</t>
  </si>
  <si>
    <t>GUASA GALVANIZADA 1/4"</t>
  </si>
  <si>
    <t>GUASA GALVANIZADA 4MM</t>
  </si>
  <si>
    <t>GUASA GALVANIZADA 5/16"</t>
  </si>
  <si>
    <t>GUASA GALVANIZADA DE 3/8"</t>
  </si>
  <si>
    <t>GUASA GALVANIZADA DE 7/16"</t>
  </si>
  <si>
    <t>GUASA GRADO 5 7/16</t>
  </si>
  <si>
    <t>GUASA INOX 3/8"</t>
  </si>
  <si>
    <t>M10x20 g5</t>
  </si>
  <si>
    <t>M6X35</t>
  </si>
  <si>
    <t>MARCHA-PARO</t>
  </si>
  <si>
    <t>MOTOR MONOFÁSICO 120 V 0.5HP 1750 RPM</t>
  </si>
  <si>
    <t>PERILLA 1/2</t>
  </si>
  <si>
    <t>PERILLA PLÁSTICA HEMBRA 3/8" ROSCA ORDINARIA</t>
  </si>
  <si>
    <t>PERRILLA PLASTICA CON EJE DE 1/2"</t>
  </si>
  <si>
    <t>PIÑÓN 15 DIENTES</t>
  </si>
  <si>
    <t>PIÑÓN 16 DIENTES</t>
  </si>
  <si>
    <t>PIÑÓN 25 DIENTES</t>
  </si>
  <si>
    <t>PIÑÓN 38 DIENTES</t>
  </si>
  <si>
    <t>POLEA 3" CANAL B1 EJE 1"</t>
  </si>
  <si>
    <t>POLEA 3" CANAL B2 EJE 3/4"</t>
  </si>
  <si>
    <t>POLEA ϕ16" EJE 3/4" PARA CORREA TIPO A, UN CANAL, UN PRISIONERO 3/8"</t>
  </si>
  <si>
    <t>POLEA ϕ16" EJE 7/8" PARA CORREA TIPO A, UN CANAL, UN PRISIONERO 3/8"</t>
  </si>
  <si>
    <t>POLEA ϕ2" EJE 3/8" PARA CORREA TIPO A, UN CANAL, UN PRISIONERO 5/16", CUÑERO 3/16"</t>
  </si>
  <si>
    <t>POLEA ϕ2" EJE 7/8" PARA CORREA TIPO A, UN CANAL, UN PRISIONERO 5/16", CUÑERO 3/16"</t>
  </si>
  <si>
    <t>Preferred Narrow FW 0.375</t>
  </si>
  <si>
    <t>PRISIONERO 1/4" X 1/2"</t>
  </si>
  <si>
    <t>PRISIONERO 3/8" x 1"</t>
  </si>
  <si>
    <t>PRISIONERO 3/8" X 1" 1/4</t>
  </si>
  <si>
    <t>PRISIONERO 3/8" x 3/4"</t>
  </si>
  <si>
    <t>PRISIONERO 5/16 X 1/2"</t>
  </si>
  <si>
    <t>PRISIONERO 5/16" x 1"</t>
  </si>
  <si>
    <t>PRISIONERO 5/16" x 1" 1/2 HEXAGONAL</t>
  </si>
  <si>
    <t>PRISIONERO 5/16" x 1" 1/4 ALLEN</t>
  </si>
  <si>
    <t>PRISIONERO 5/16" x 1" ACERO INOXIDABLE</t>
  </si>
  <si>
    <t>PRISIONERO 5/16" x 1" CABEZA CUADRADA</t>
  </si>
  <si>
    <t>PRISIONERO 5/16" x 1/2" CABEZA HEXAGONAL</t>
  </si>
  <si>
    <t xml:space="preserve">PRISIONERO 5/16" x 3/4" </t>
  </si>
  <si>
    <t>PRISIONERO 5/16" x 3/4" ACERO INOXIDABLE</t>
  </si>
  <si>
    <t>PRISIONERO 5/16" x 3/4" CABEZA HEXAGONAL</t>
  </si>
  <si>
    <t>PRISIONERO 5/16" x 3/4" GRADO 5</t>
  </si>
  <si>
    <t xml:space="preserve">PRISIONERO ALLEN 1/4" X 3/4" </t>
  </si>
  <si>
    <t>PRISIONERO ALLEN 3/8" x 1" ROSCA ORDINARIA GRADO 5</t>
  </si>
  <si>
    <t>PRISIONERO ALLEN 5/16" x 1/2"</t>
  </si>
  <si>
    <t>PRISIONERO ALLEN 5/16" x 1/2" GRADO 5</t>
  </si>
  <si>
    <t>PRISIONERO ALLEN 5/16" x 1/2" ROSCA ORDINARIA GRADO 5</t>
  </si>
  <si>
    <t>PRISIONERO ALLEN 5/16" x 3/4"</t>
  </si>
  <si>
    <t>PRISIONERO CABEZA CUADRADA 1/4" X 1" 1/2</t>
  </si>
  <si>
    <t>PRISIONERO CABEZA CUADRADA 3/8" x 1" 1/2 ROSCA ORDINARIA GRADO 5</t>
  </si>
  <si>
    <t>PRISIONERO CABEZA CUADRADA 3/8" x 2"</t>
  </si>
  <si>
    <t>PRISIONERO CABEZA CUADRADA 3/8" x 3/4"</t>
  </si>
  <si>
    <t>PRISIONERO CABEZA CUADRADA 3/8"-16x1" 1/4"</t>
  </si>
  <si>
    <t>PRISIONERO CABEZA CUADRADA 5/16"x3/4" (DISCOS)</t>
  </si>
  <si>
    <t>RODAMIENTO 6008</t>
  </si>
  <si>
    <t>RODAMIENTO 6205 2RSC3-1</t>
  </si>
  <si>
    <t>RODILLO EMPAQUE ϕ1" LARGO 30 mm PERFORACIÓN 3/8"</t>
  </si>
  <si>
    <t>RODILLO TENSOR CADENA EN EMPACK</t>
  </si>
  <si>
    <t>TAPA TUBOS REMELLONES</t>
  </si>
  <si>
    <t>TORNILLO 1/2" x 1" GRADO 5</t>
  </si>
  <si>
    <t xml:space="preserve">TORNILLO 3 MM AUTOPERFORANTE </t>
  </si>
  <si>
    <t>TORNILLO 3/8" X 2"</t>
  </si>
  <si>
    <t>TORNILLO 5/16" x 1/2" GALVANIZADO</t>
  </si>
  <si>
    <t>TORNILLO 5/16" x 3/4" GRADO 5</t>
  </si>
  <si>
    <t>TORNILLO ALLEN 1/4" x 1"</t>
  </si>
  <si>
    <t>TORNILLO AUTOPERFORANTE 1" 1/4</t>
  </si>
  <si>
    <t xml:space="preserve">TORNILLO CABEZA CUADRADA 1/4" X 1" 1/2 </t>
  </si>
  <si>
    <t>TORNILLO CABEZA CUADRADA 3/8" x 1" 1/2 GRADO 5</t>
  </si>
  <si>
    <t>TORNILLO CABEZA CUADRADA 5/16" X 3/4" GRADO</t>
  </si>
  <si>
    <t>TORNILLO CARRIAJE GALVANIZADO 5/16" x 2" 1/2 (BASE MADERA)</t>
  </si>
  <si>
    <t>TORNILLO CILINDRICO 1/4" X 1" 1/2 GRADO 5</t>
  </si>
  <si>
    <t xml:space="preserve">TORNILLO CILINDRICO 1/4" X 1" 1/4 </t>
  </si>
  <si>
    <t>TORNILLO CILINDRICO 1/4" x 1" GRADO 5</t>
  </si>
  <si>
    <t xml:space="preserve">TORNILLO HEXAGONAL 1/2" x 1" 1/2 </t>
  </si>
  <si>
    <t>TORNILLO HEXAGONAL 1/2" X 1" ROSCA FINA GRADO 5</t>
  </si>
  <si>
    <t>TORNILLO HEXAGONAL 1/2" x 2"</t>
  </si>
  <si>
    <t>TORNILLO HEXAGONAL 1/2" x 3/4" GRADO 5</t>
  </si>
  <si>
    <t>TORNILLO HEXAGONAL 1/2" X 4" GRADO 5</t>
  </si>
  <si>
    <t>TORNILLO HEXAGONAL 1/2" x1" 1/2 GRADO 5</t>
  </si>
  <si>
    <t>TORNILLO HEXAGONAL 1/4" x 1" 1/2 ROSCA ORDINARIA GRADO 2</t>
  </si>
  <si>
    <t>TORNILLO HEXAGONAL 1/4" x 1" 1/4 ROSCA ORDINARIA GRADO 2</t>
  </si>
  <si>
    <t>TORNILLO HEXAGONAL 1/4" x 1" ROSCA ORDINARIA GRADO 2</t>
  </si>
  <si>
    <t xml:space="preserve">TORNILLO HEXAGONAL 1/4" x 1/2" ROSCA ORDINARIA </t>
  </si>
  <si>
    <t>TORNILLO HEXAGONAL 1/4" X 2"</t>
  </si>
  <si>
    <t>TORNILLO HEXAGONAL 1/4" x 3/4" ACERO INOXIDABLE</t>
  </si>
  <si>
    <t>TORNILLO HEXAGONAL 1/4" x 3/4" ROSCA ORDINARIA GRADO 2</t>
  </si>
  <si>
    <t>TORNILLO HEXAGONAL 11/16" x 5" 1/2</t>
  </si>
  <si>
    <t>TORNILLO HEXAGONAL 3/4" X 4" GRADO 5</t>
  </si>
  <si>
    <t>TORNILLO HEXAGONAL 3/8" X 1" 1/2</t>
  </si>
  <si>
    <t>TORNILLO HEXAGONAL 3/8" x 1" 1/2 ACERO INOXIDABLE</t>
  </si>
  <si>
    <t>TORNILLO HEXAGONAL 3/8" x 1" 1/4" ROSCA ORDINARIA GRADO 2</t>
  </si>
  <si>
    <t>TORNILLO HEXAGONAL 3/8" x 1" ACERO INOXIDABLE</t>
  </si>
  <si>
    <t>TORNILLO HEXAGONAL 3/8" x 1" ROSCA ORDINARIA GRADO 2</t>
  </si>
  <si>
    <t>TORNILLO HEXAGONAL 3/8" x 2" 1/2 ROSCA ORDINARIA GRADO 2</t>
  </si>
  <si>
    <t>TORNILLO HEXAGONAL 3/8" x 2" ROSCA ORDINARIA GRADO 2</t>
  </si>
  <si>
    <t>TORNILLO HEXAGONAL 3/8" X 3"</t>
  </si>
  <si>
    <t>TORNILLO HEXAGONAL 3/8" x 3/4"</t>
  </si>
  <si>
    <t>TORNILLO HEXAGONAL 3/8" x 6"</t>
  </si>
  <si>
    <t>TORNILLO HEXAGONAL 5/16 X 2" 1/2</t>
  </si>
  <si>
    <t>TORNILLO HEXAGONAL 5/16" X 1" 1/2 GRADO 5</t>
  </si>
  <si>
    <t>TORNILLO HEXAGONAL 5/16" x 1" 1/2 ROSCA FINA GRADO 5</t>
  </si>
  <si>
    <t>TORNILLO HEXAGONAL 5/16" x 1" 1/2 ROSCA ORDINARIA GRADO 2</t>
  </si>
  <si>
    <t>TORNILLO HEXAGONAL 5/16" x 1" 1/4 ACERO INOXIDABLE</t>
  </si>
  <si>
    <t>TORNILLO HEXAGONAL 5/16" x 1" 1/4 ROSCA ORDINARIA GRADO 2</t>
  </si>
  <si>
    <t>TORNILLO HEXAGONAL 5/16" x 1" ROSCA ORDINARIA ACERO INOXIDABLE</t>
  </si>
  <si>
    <t>TORNILLO HEXAGONAL 5/16" x 1" ROSCA ORDINARIA GRADO 2</t>
  </si>
  <si>
    <t>TORNILLO HEXAGONAL 5/16" X 1/2" GRADO 5 ROSCA ORDINARIA</t>
  </si>
  <si>
    <t>TORNILLO HEXAGONAL 5/16" x 2" ACERO INOXIDABLE</t>
  </si>
  <si>
    <t>TORNILLO HEXAGONAL 5/16" x 3/4" ACERO INOXIDABLE</t>
  </si>
  <si>
    <t>TORNILLO HEXAGONAL 5/16" X 3/4" GALVANIZADO</t>
  </si>
  <si>
    <t>TORNILLO HEXAGONAL 5/16" X 3/4" GRADO 5</t>
  </si>
  <si>
    <t>TORNILLO HEXAGONAL 5/8" x 1" 1/2 GRADO 5</t>
  </si>
  <si>
    <t>TORNILLO HEXAGONAL 5/8" x 2" 1/2 GRADO 5</t>
  </si>
  <si>
    <t>TORNILLO HEXAGONAL 5/8" x 3" 1/2 GRADO 5</t>
  </si>
  <si>
    <t>TORNILLO HEXAGONAL 5/8" x 3" GRADO 5</t>
  </si>
  <si>
    <t>TORNILLO HEXAGONAL 7/16" X 1"</t>
  </si>
  <si>
    <t>TORNILLO HEXAGONAL 7/16" X 1" 1/2</t>
  </si>
  <si>
    <t>tornillo HEXAGONAL 9/16" x 1" 1/2 grado 8</t>
  </si>
  <si>
    <t>TORNILLO HEXAGONAL GALVANIZADO 1/2" x 1" 1/2</t>
  </si>
  <si>
    <t>TORNILLO HEXAGONAL GALVANIZADO 5/16" x 1" 1/4</t>
  </si>
  <si>
    <t>TORNILLO HEXAGONAL GALVANIZADO 5/16" x 2"</t>
  </si>
  <si>
    <t>TORNILLO HEXAGONAL GALVANIZADO 5/16" x 3"</t>
  </si>
  <si>
    <t>TORNILLO HEXAGONAL GALVANIZADO 5/16" x 3" (ANCLAJE MOTOR)</t>
  </si>
  <si>
    <t>TORNILLO HEXAGONAL GALVANIZADO 5/16" x 4" (PATAS)</t>
  </si>
  <si>
    <t>TORNILLO M4 X 12</t>
  </si>
  <si>
    <t>TORNILLO M5 X 10</t>
  </si>
  <si>
    <t>TORNILLO M6 X 16</t>
  </si>
  <si>
    <t>TORNILLO MARIPOSA 1/4" X 1/2"</t>
  </si>
  <si>
    <t>TORNILLO MARIPOSA 1/4" X 3/4"</t>
  </si>
  <si>
    <t>TORNILLO MARIPOSA 3/8" X 2"</t>
  </si>
  <si>
    <t>TORNILLO MILIMETRICO M4 X 10</t>
  </si>
  <si>
    <t>TORNILLO MILIMETRICO M4 X 40</t>
  </si>
  <si>
    <t>TORNILLO MILIMETRICO M6 X 10</t>
  </si>
  <si>
    <t>TUERCA 1/2" GRADO 5</t>
  </si>
  <si>
    <t>TUERCA 3/4"</t>
  </si>
  <si>
    <t>tuerca 3/8 grado 5</t>
  </si>
  <si>
    <t>TUERCA 3/8" ACERO INOXIDABLE</t>
  </si>
  <si>
    <t>TUERCA 7/8"</t>
  </si>
  <si>
    <t>TUERCA DE ANCLAJE 5/16"</t>
  </si>
  <si>
    <t>TUERCA DE SEGURIDAD 1/4" ACERO INOXIDABLE</t>
  </si>
  <si>
    <t>TUERCA DE SEGURIDAD GALVANIZADA 3/8"</t>
  </si>
  <si>
    <t xml:space="preserve">TUERCA DE SEGURIDAD GALVANIZADA 3/8" INOXIDABLE </t>
  </si>
  <si>
    <t>TUERCA DE SEGURIDAD GALVANIZADA 5/16"</t>
  </si>
  <si>
    <t>TUERCA GALVANIZADA 1/2"</t>
  </si>
  <si>
    <t>TUERCA GALVANIZADA 11/16</t>
  </si>
  <si>
    <t>TUERCA GALVANIZADA 3/8"</t>
  </si>
  <si>
    <t>TUERCA GALVANIZADA 5/16"</t>
  </si>
  <si>
    <t>TUERCA GALVANIZADA 5MM</t>
  </si>
  <si>
    <t>TUERCA GALVANIZADA 7/16"</t>
  </si>
  <si>
    <t>TUERCA HEXAGONAL 1/4" ACERO INOXIDABLE SEGURIDAD</t>
  </si>
  <si>
    <t>TUERCA HEXAGONAL 1/4" GRADO 5</t>
  </si>
  <si>
    <t>TUERCA HEXAGONAL 1/4" ROSCA ORDINARIA</t>
  </si>
  <si>
    <t>TUERCA HEXAGONAL 1/4" ROSCA ORDINARIA ACERO INOXIDABLE</t>
  </si>
  <si>
    <t>TUERCA HEXAGONAL 5/16" ROSCA ORDINARIA ACERO INOXIDABLE</t>
  </si>
  <si>
    <t>TUERCA HEXAGONAL 9/16" GRADO 5</t>
  </si>
  <si>
    <t>TUERCA HEXAGONAL GALVANIZADA 1/2 "</t>
  </si>
  <si>
    <t>TUERCA M8</t>
  </si>
  <si>
    <t xml:space="preserve">TUERCA MARIPOSA 1/4 ACERO INOXIDABLE </t>
  </si>
  <si>
    <t>TUERCA MARIPOSA 1/4" ROSCA ORDINARIA GALVANIZADA</t>
  </si>
  <si>
    <t>TUERCA MARIPOSA 5/16"</t>
  </si>
  <si>
    <t>TUERCA REMACHE 5MM</t>
  </si>
  <si>
    <t>VARILLA GALVANIZADA ROSCADA 1MT DE 1/2"</t>
  </si>
  <si>
    <t>VARILLA LISA 1/2" x60mm</t>
  </si>
  <si>
    <t>VARILLA LISA 1/2" x82mm</t>
  </si>
  <si>
    <t>VARILLA LISA DE 1/2"</t>
  </si>
  <si>
    <t>VARILLA REDONDA LISA DE 5/16" x 6 m</t>
  </si>
  <si>
    <t>VARILLA ROSCADA 1/2" - 13 X 110mm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</si>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</sst>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&quot;$&quot;#,##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5" xfId="0" applyFont="1" applyBorder="1"/>
    <xf numFmtId="0" fontId="0" fillId="0" borderId="8" xfId="0" applyBorder="1"/>
    <xf numFmtId="1" fontId="0" fillId="0" borderId="8" xfId="0" applyNumberFormat="1" applyBorder="1"/>
    <xf numFmtId="2" fontId="0" fillId="0" borderId="0" xfId="0" applyNumberFormat="1"/>
    <xf numFmtId="2" fontId="1" fillId="0" borderId="6" xfId="0" applyNumberFormat="1" applyFont="1" applyBorder="1"/>
    <xf numFmtId="0" fontId="1" fillId="0" borderId="4" xfId="0" applyFont="1" applyBorder="1"/>
    <xf numFmtId="0" fontId="0" fillId="0" borderId="2" xfId="0" applyBorder="1"/>
    <xf numFmtId="0" fontId="0" fillId="0" borderId="7" xfId="0" applyBorder="1"/>
    <xf numFmtId="164" fontId="1" fillId="0" borderId="5" xfId="0" applyNumberFormat="1" applyFont="1" applyBorder="1"/>
    <xf numFmtId="164" fontId="0" fillId="0" borderId="1" xfId="0" applyNumberFormat="1" applyBorder="1"/>
    <xf numFmtId="164" fontId="0" fillId="0" borderId="8" xfId="0" applyNumberFormat="1" applyBorder="1"/>
    <xf numFmtId="164" fontId="0" fillId="0" borderId="0" xfId="0" applyNumberFormat="1"/>
    <xf numFmtId="165" fontId="0" fillId="0" borderId="3" xfId="0" applyNumberFormat="1" applyBorder="1"/>
    <xf numFmtId="165" fontId="1" fillId="0" borderId="5" xfId="0" applyNumberFormat="1" applyFont="1" applyBorder="1"/>
    <xf numFmtId="165" fontId="0" fillId="0" borderId="0" xfId="0" applyNumberFormat="1"/>
    <xf numFmtId="165" fontId="0" fillId="0" borderId="8" xfId="0" applyNumberFormat="1" applyBorder="1"/>
    <xf numFmtId="165" fontId="0" fillId="0" borderId="9" xfId="0" applyNumberFormat="1" applyBorder="1"/>
    <xf numFmtId="0" fontId="0" fillId="2" borderId="1" xfId="0" applyFill="1" applyBorder="1"/>
  </cellXfs>
  <cellStyles count="1">
    <cellStyle name="Normal" xfId="0" builtinId="0"/>
  </cellStyles>
  <dxfs count="26">
    <dxf>
      <numFmt numFmtId="165" formatCode="&quot;$&quot;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&quot;$&quot;#,##0"/>
    </dxf>
    <dxf>
      <numFmt numFmtId="165" formatCode="&quot;$&quot;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48080"/>
      <color rgb="FFFFC3C3"/>
      <color rgb="FFFF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99bfed8ee2a0bb2/Desktop/cristian/archivos%20cristian/Inventario/precios%20tornilleria.xlsx" TargetMode="External"/><Relationship Id="rId1" Type="http://schemas.openxmlformats.org/officeDocument/2006/relationships/externalLinkPath" Target="precios%20torniller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899bfed8ee2a0bb2" itemId="899BFED8EE2A0BB2!s0393ef97e7674721bed084665bbc7913">
      <xxl21:absoluteUrl r:id="rId2"/>
    </xxl21:alternateUrls>
    <sheetNames>
      <sheetName val="Hoja1"/>
    </sheetNames>
    <sheetDataSet>
      <sheetData sheetId="0">
        <row r="1">
          <cell r="A1" t="str">
            <v>Articulo</v>
          </cell>
          <cell r="B1" t="str">
            <v>Precio</v>
          </cell>
        </row>
        <row r="2">
          <cell r="A2" t="str">
            <v>ABRAZADERA PARA TUBO</v>
          </cell>
          <cell r="B2">
            <v>1350</v>
          </cell>
        </row>
        <row r="3">
          <cell r="A3" t="str">
            <v>ARANDELA 1/2" GRADO 5</v>
          </cell>
          <cell r="B3">
            <v>1000</v>
          </cell>
        </row>
        <row r="4">
          <cell r="A4" t="str">
            <v>ARANDELA 1/4" ACERO INOXIDABLE</v>
          </cell>
          <cell r="B4">
            <v>200</v>
          </cell>
        </row>
        <row r="5">
          <cell r="A5" t="str">
            <v>ARANDELA 5/16" ACERO INOXIDABLE</v>
          </cell>
          <cell r="B5">
            <v>124</v>
          </cell>
        </row>
        <row r="6">
          <cell r="A6" t="str">
            <v>ARANDELA 9/16 GRADO 5</v>
          </cell>
          <cell r="B6">
            <v>390</v>
          </cell>
        </row>
        <row r="7">
          <cell r="A7" t="str">
            <v>ARANDELA ACERO INOXIDABLE 5/16"</v>
          </cell>
          <cell r="B7">
            <v>150</v>
          </cell>
        </row>
        <row r="8">
          <cell r="A8" t="str">
            <v>ARANDELA GALVANIZADA 1/2"</v>
          </cell>
          <cell r="B8">
            <v>300</v>
          </cell>
        </row>
        <row r="9">
          <cell r="A9" t="str">
            <v>ARANDELA GALVANIZADA 1/4"</v>
          </cell>
          <cell r="B9">
            <v>100</v>
          </cell>
        </row>
        <row r="10">
          <cell r="A10" t="str">
            <v>ARANDELA GALVANIZADA 3/4</v>
          </cell>
          <cell r="B10">
            <v>550</v>
          </cell>
        </row>
        <row r="11">
          <cell r="A11" t="str">
            <v>ARANDELA GALVANIZADA 3/8"</v>
          </cell>
          <cell r="B11">
            <v>150</v>
          </cell>
        </row>
        <row r="12">
          <cell r="A12" t="str">
            <v>ARANDELA GALVANIZADA 5/16"</v>
          </cell>
          <cell r="B12">
            <v>200</v>
          </cell>
        </row>
        <row r="13">
          <cell r="A13" t="str">
            <v>ARANDELA GALVANIZADA 5/8"</v>
          </cell>
          <cell r="B13">
            <v>350</v>
          </cell>
        </row>
        <row r="14">
          <cell r="A14" t="str">
            <v xml:space="preserve">ARANDELA GALVANIZADA 5MM </v>
          </cell>
          <cell r="B14">
            <v>450</v>
          </cell>
        </row>
        <row r="15">
          <cell r="A15" t="str">
            <v>ARANDELA GALVANIZADA 7/16"</v>
          </cell>
          <cell r="B15">
            <v>350</v>
          </cell>
        </row>
        <row r="16">
          <cell r="A16" t="str">
            <v>BANDA B67</v>
          </cell>
          <cell r="B16">
            <v>26800</v>
          </cell>
        </row>
        <row r="17">
          <cell r="A17" t="str">
            <v>CABLE DE ALIMENTACIÓN ENCAUCHETADO 3*18; 2m</v>
          </cell>
          <cell r="B17">
            <v>7300</v>
          </cell>
        </row>
        <row r="18">
          <cell r="A18" t="str">
            <v>CADENA ESLABONADA (102 ESLABONES)</v>
          </cell>
          <cell r="B18">
            <v>25500</v>
          </cell>
        </row>
        <row r="19">
          <cell r="A19" t="str">
            <v>CADENA ESLABONADA (132 ESLABONES)</v>
          </cell>
          <cell r="B19">
            <v>33000</v>
          </cell>
        </row>
        <row r="20">
          <cell r="A20" t="str">
            <v>CADENA ESLABONADA (50 ESLABONES)</v>
          </cell>
          <cell r="B20">
            <v>12500</v>
          </cell>
        </row>
        <row r="21">
          <cell r="A21" t="str">
            <v>CADENA ESLABONADA (52 ESLABONES)</v>
          </cell>
          <cell r="B21">
            <v>13000</v>
          </cell>
        </row>
        <row r="22">
          <cell r="A22" t="str">
            <v>CAMISA DE COBRE LARGO: 317 mm ANCHO: 240 mm</v>
          </cell>
          <cell r="B22">
            <v>80000</v>
          </cell>
        </row>
        <row r="23">
          <cell r="A23" t="str">
            <v>CAMISAS DE COBRE: ANCHO 260 mm LARGO 730 mm; ANCHO 130 mm LARGO 730 mm</v>
          </cell>
          <cell r="B23">
            <v>60000</v>
          </cell>
        </row>
        <row r="24">
          <cell r="A24" t="str">
            <v>CAUCHO ESPUMADO</v>
          </cell>
          <cell r="B24">
            <v>35000</v>
          </cell>
        </row>
        <row r="25">
          <cell r="A25" t="str">
            <v>CAUCHOS PATAS</v>
          </cell>
          <cell r="B25">
            <v>1500</v>
          </cell>
        </row>
        <row r="26">
          <cell r="A26" t="str">
            <v>CHAZOS DE EXPANSIÓN 4"</v>
          </cell>
          <cell r="B26">
            <v>1300</v>
          </cell>
        </row>
        <row r="27">
          <cell r="A27" t="str">
            <v>CHUMACERA DE PARED DOS HUECOS UCFL204-12 EJE ϕ3/4"</v>
          </cell>
          <cell r="B27">
            <v>45000</v>
          </cell>
        </row>
        <row r="28">
          <cell r="A28" t="str">
            <v>CHUMACERA DE PARED DOS HUECOS UCFL205-14 EJE ϕ7/8"</v>
          </cell>
          <cell r="B28">
            <v>50000</v>
          </cell>
        </row>
        <row r="29">
          <cell r="A29" t="str">
            <v>CHUMACERA DE PEDESTAL 2 HUECOS EJE 3/4" UCP 204-12</v>
          </cell>
          <cell r="B29">
            <v>64000</v>
          </cell>
        </row>
        <row r="30">
          <cell r="A30" t="str">
            <v>CHUMACERA F2B 108-LF-AH</v>
          </cell>
          <cell r="B30">
            <v>320000</v>
          </cell>
        </row>
        <row r="31">
          <cell r="A31" t="str">
            <v>CHUMACERA UC 205-16</v>
          </cell>
          <cell r="B31">
            <v>50000</v>
          </cell>
        </row>
        <row r="32">
          <cell r="A32" t="str">
            <v>CHUMACERA UCFL 205-16</v>
          </cell>
          <cell r="B32">
            <v>48000</v>
          </cell>
        </row>
        <row r="33">
          <cell r="A33" t="str">
            <v>CHUMACERA UCFL206-18</v>
          </cell>
          <cell r="B33">
            <v>60000</v>
          </cell>
        </row>
        <row r="34">
          <cell r="A34" t="str">
            <v xml:space="preserve">CHUMACERA UPC 205-16 </v>
          </cell>
          <cell r="B34">
            <v>32000</v>
          </cell>
        </row>
        <row r="35">
          <cell r="A35" t="str">
            <v>CLAVIJA HEMBRA</v>
          </cell>
          <cell r="B35">
            <v>5800</v>
          </cell>
        </row>
        <row r="36">
          <cell r="A36" t="str">
            <v>CLAVIJA MACHO</v>
          </cell>
          <cell r="B36">
            <v>5200</v>
          </cell>
        </row>
        <row r="37">
          <cell r="A37" t="str">
            <v>CORREA A-53</v>
          </cell>
          <cell r="B37">
            <v>22000</v>
          </cell>
        </row>
        <row r="38">
          <cell r="A38" t="str">
            <v>CORREA B 53</v>
          </cell>
          <cell r="B38">
            <v>11000</v>
          </cell>
        </row>
        <row r="39">
          <cell r="A39" t="str">
            <v>CORREA TIPO A 55</v>
          </cell>
          <cell r="B39">
            <v>12000</v>
          </cell>
        </row>
        <row r="40">
          <cell r="A40" t="str">
            <v>CUÑA 1/4" X 3"</v>
          </cell>
          <cell r="B40">
            <v>20000</v>
          </cell>
        </row>
        <row r="41">
          <cell r="A41" t="str">
            <v>CUÑA 5/16" X 2.95"</v>
          </cell>
          <cell r="B41">
            <v>35000</v>
          </cell>
        </row>
        <row r="42">
          <cell r="A42" t="str">
            <v>CUÑA 5/16" X 3"</v>
          </cell>
          <cell r="B42">
            <v>37000</v>
          </cell>
        </row>
        <row r="43">
          <cell r="A43" t="str">
            <v>eje 1" 1/2" acero 1045 x 355mm</v>
          </cell>
          <cell r="B43">
            <v>80000</v>
          </cell>
        </row>
        <row r="44">
          <cell r="A44" t="str">
            <v>EJE ϕ1 1/2" ACERO 1020 * 25 mm</v>
          </cell>
          <cell r="B44">
            <v>16400</v>
          </cell>
        </row>
        <row r="45">
          <cell r="A45" t="str">
            <v>EJE ϕ2 3/4" ACERO 1020 * 30 mm</v>
          </cell>
          <cell r="B45">
            <v>21400</v>
          </cell>
        </row>
        <row r="46">
          <cell r="A46" t="str">
            <v>EJE ϕ3/4" ACERO 1020 - 1290 mm</v>
          </cell>
          <cell r="B46">
            <v>877200</v>
          </cell>
        </row>
        <row r="47">
          <cell r="A47" t="str">
            <v>ENCENDEDOR MARCHA-PARO</v>
          </cell>
          <cell r="B47">
            <v>19000</v>
          </cell>
        </row>
        <row r="48">
          <cell r="A48" t="str">
            <v>FLANCHER LH SIN ROSCA</v>
          </cell>
          <cell r="B48">
            <v>30000</v>
          </cell>
        </row>
        <row r="49">
          <cell r="A49" t="str">
            <v>GUASA 1/2" GRADO 5</v>
          </cell>
          <cell r="B49">
            <v>150</v>
          </cell>
        </row>
        <row r="50">
          <cell r="A50" t="str">
            <v>GUASA 5/16 GRADO 5</v>
          </cell>
          <cell r="B50">
            <v>50</v>
          </cell>
        </row>
        <row r="51">
          <cell r="A51" t="str">
            <v>GUASA 5/16" GRADO 5</v>
          </cell>
          <cell r="B51">
            <v>50</v>
          </cell>
        </row>
        <row r="52">
          <cell r="A52" t="str">
            <v>GUASA ACERO INOXIDABLE DE 5/16"</v>
          </cell>
          <cell r="B52">
            <v>150</v>
          </cell>
        </row>
        <row r="53">
          <cell r="A53" t="str">
            <v>GUASA GALVANIZADA 1/4"</v>
          </cell>
          <cell r="B53">
            <v>50</v>
          </cell>
        </row>
        <row r="54">
          <cell r="A54" t="str">
            <v>GUASA GALVANIZADA 3/8"</v>
          </cell>
          <cell r="B54">
            <v>50</v>
          </cell>
        </row>
        <row r="55">
          <cell r="A55" t="str">
            <v>GUASA GALVANIZADA 4MM</v>
          </cell>
          <cell r="B55">
            <v>50</v>
          </cell>
        </row>
        <row r="56">
          <cell r="A56" t="str">
            <v>GUASA GALVANIZADA 5/16"</v>
          </cell>
          <cell r="B56">
            <v>50</v>
          </cell>
        </row>
        <row r="57">
          <cell r="A57" t="str">
            <v>GUASA GALVANIZADA DE 1/4"</v>
          </cell>
          <cell r="B57">
            <v>50</v>
          </cell>
        </row>
        <row r="58">
          <cell r="A58" t="str">
            <v>GUASA GALVANIZADA DE 3/8"</v>
          </cell>
          <cell r="B58">
            <v>50</v>
          </cell>
        </row>
        <row r="59">
          <cell r="A59" t="str">
            <v>GUASA GALVANIZADA DE 5/16"</v>
          </cell>
          <cell r="B59">
            <v>50</v>
          </cell>
        </row>
        <row r="60">
          <cell r="A60" t="str">
            <v>GUASA GALVANIZADA DE 7/16"</v>
          </cell>
          <cell r="B60">
            <v>50</v>
          </cell>
        </row>
        <row r="61">
          <cell r="A61" t="str">
            <v>GUASA GRADO 5 7/16</v>
          </cell>
          <cell r="B61">
            <v>100</v>
          </cell>
        </row>
        <row r="62">
          <cell r="A62" t="str">
            <v>GUASA GRADO 5 DE 1/2"</v>
          </cell>
          <cell r="B62">
            <v>200</v>
          </cell>
        </row>
        <row r="63">
          <cell r="A63" t="str">
            <v>GUASA INOX 3/8"</v>
          </cell>
          <cell r="B63">
            <v>200</v>
          </cell>
        </row>
        <row r="64">
          <cell r="A64" t="str">
            <v>M10x20 g5</v>
          </cell>
          <cell r="B64">
            <v>300</v>
          </cell>
        </row>
        <row r="65">
          <cell r="A65" t="str">
            <v>M6X35</v>
          </cell>
          <cell r="B65">
            <v>300</v>
          </cell>
        </row>
        <row r="66">
          <cell r="A66" t="str">
            <v>MARCHA-PARO</v>
          </cell>
          <cell r="B66">
            <v>18000</v>
          </cell>
        </row>
        <row r="67">
          <cell r="A67" t="str">
            <v>MOTOR MONOFÁSICO 120 V 0.5HP 1750 RPM</v>
          </cell>
          <cell r="B67">
            <v>530000</v>
          </cell>
        </row>
        <row r="68">
          <cell r="A68" t="str">
            <v>PERILLA 1/2</v>
          </cell>
          <cell r="B68">
            <v>15000</v>
          </cell>
        </row>
        <row r="69">
          <cell r="A69" t="str">
            <v>PERILLA PLÁSTICA HEMBRA 3/8" ROSCA ORDINARIA</v>
          </cell>
          <cell r="B69">
            <v>20000</v>
          </cell>
        </row>
        <row r="70">
          <cell r="A70" t="str">
            <v>PERRILLA PLASTICA CON EJE DE 1/2"</v>
          </cell>
          <cell r="B70">
            <v>20000</v>
          </cell>
        </row>
        <row r="71">
          <cell r="A71" t="str">
            <v>PIÑÓN 15 DIENTES</v>
          </cell>
          <cell r="B71">
            <v>18000</v>
          </cell>
        </row>
        <row r="72">
          <cell r="A72" t="str">
            <v>PIÑÓN 16 DIENTES</v>
          </cell>
          <cell r="B72">
            <v>16500</v>
          </cell>
        </row>
        <row r="73">
          <cell r="A73" t="str">
            <v>PIÑÓN 25 DIENTES</v>
          </cell>
          <cell r="B73">
            <v>28000</v>
          </cell>
        </row>
        <row r="74">
          <cell r="A74" t="str">
            <v>PIÑÓN 38 DIENTES</v>
          </cell>
          <cell r="B74">
            <v>40000</v>
          </cell>
        </row>
        <row r="75">
          <cell r="A75" t="str">
            <v>POLEA 3" CANAL B1 EJE 1"</v>
          </cell>
          <cell r="B75">
            <v>8000</v>
          </cell>
        </row>
        <row r="76">
          <cell r="A76" t="str">
            <v>POLEA 3" CANAL B2 EJE 3/4</v>
          </cell>
          <cell r="B76">
            <v>8000</v>
          </cell>
        </row>
        <row r="77">
          <cell r="A77" t="str">
            <v>POLEA 3" CANAL B2 EJE 3/4"</v>
          </cell>
          <cell r="B77">
            <v>15000</v>
          </cell>
        </row>
        <row r="78">
          <cell r="A78" t="str">
            <v>POLEA ϕ16" EJE 3/4" PARA CORREA TIPO A, UN CANAL, UN PRISIONERO 3/8"</v>
          </cell>
          <cell r="B78">
            <v>83000</v>
          </cell>
        </row>
        <row r="79">
          <cell r="A79" t="str">
            <v>POLEA ϕ16" EJE 7/8" PARA CORREA TIPO A, UN CANAL, UN PRISIONERO 3/8"</v>
          </cell>
          <cell r="B79">
            <v>83000</v>
          </cell>
        </row>
        <row r="80">
          <cell r="A80" t="str">
            <v>POLEA ϕ2" EJE 3/8" PARA CORREA TIPO A, UN CANAL, UN PRISIONERO 5/16", CUÑERO 3/16"</v>
          </cell>
          <cell r="B80">
            <v>83000</v>
          </cell>
        </row>
        <row r="81">
          <cell r="A81" t="str">
            <v>POLEA ϕ2" EJE 7/8" PARA CORREA TIPO A, UN CANAL, UN PRISIONERO 5/16", CUÑERO 3/16"</v>
          </cell>
          <cell r="B81">
            <v>83000</v>
          </cell>
        </row>
        <row r="82">
          <cell r="A82" t="str">
            <v>Preferred Narrow FW 0.375</v>
          </cell>
          <cell r="B82">
            <v>40000</v>
          </cell>
        </row>
        <row r="83">
          <cell r="A83" t="str">
            <v>PRISIONERO 1/4" X 1/2"</v>
          </cell>
          <cell r="B83">
            <v>1200</v>
          </cell>
        </row>
        <row r="84">
          <cell r="A84" t="str">
            <v>PRISIONERO 3/8" x 1"</v>
          </cell>
          <cell r="B84">
            <v>3100</v>
          </cell>
        </row>
        <row r="85">
          <cell r="A85" t="str">
            <v>PRISIONERO 3/8" X 1" 1/4</v>
          </cell>
          <cell r="B85">
            <v>500</v>
          </cell>
        </row>
        <row r="86">
          <cell r="A86" t="str">
            <v>PRISIONERO 3/8" x 3/4"</v>
          </cell>
          <cell r="B86">
            <v>450</v>
          </cell>
        </row>
        <row r="87">
          <cell r="A87" t="str">
            <v>PRISIONERO 5/16 X 1/2"</v>
          </cell>
          <cell r="B87">
            <v>800</v>
          </cell>
        </row>
        <row r="88">
          <cell r="A88" t="str">
            <v>PRISIONERO 5/16" x 1"</v>
          </cell>
          <cell r="B88">
            <v>800</v>
          </cell>
        </row>
        <row r="89">
          <cell r="A89" t="str">
            <v>PRISIONERO 5/16" x 1" 1/2 HEXAGONAL</v>
          </cell>
          <cell r="B89">
            <v>900</v>
          </cell>
        </row>
        <row r="90">
          <cell r="A90" t="str">
            <v>PRISIONERO 5/16" x 1" ACERO INOXIDABLE</v>
          </cell>
          <cell r="B90">
            <v>1600</v>
          </cell>
        </row>
        <row r="91">
          <cell r="A91" t="str">
            <v>PRISIONERO 5/16" x 1" CABEZA CUADRADA</v>
          </cell>
          <cell r="B91">
            <v>500</v>
          </cell>
        </row>
        <row r="92">
          <cell r="A92" t="str">
            <v>PRISIONERO 5/16" x 1/2" CABEZA HEXAGONAL</v>
          </cell>
          <cell r="B92">
            <v>400</v>
          </cell>
        </row>
        <row r="93">
          <cell r="A93" t="str">
            <v xml:space="preserve">PRISIONERO 5/16" x 3/4" </v>
          </cell>
          <cell r="B93">
            <v>450</v>
          </cell>
        </row>
        <row r="94">
          <cell r="A94" t="str">
            <v>PRISIONERO 5/16" x 3/4" ACERO INOXIDABLE</v>
          </cell>
          <cell r="B94">
            <v>450</v>
          </cell>
        </row>
        <row r="95">
          <cell r="A95" t="str">
            <v>PRISIONERO 5/16" x 3/4" CABEZA HEXAGONAL</v>
          </cell>
          <cell r="B95">
            <v>450</v>
          </cell>
        </row>
        <row r="96">
          <cell r="A96" t="str">
            <v>PRISIONERO 5/16" x 3/4" GRADO 5</v>
          </cell>
          <cell r="B96">
            <v>600</v>
          </cell>
        </row>
        <row r="97">
          <cell r="A97" t="str">
            <v xml:space="preserve">PRISIONERO ALLEN 1/4" X 3/4" </v>
          </cell>
          <cell r="B97">
            <v>350</v>
          </cell>
        </row>
        <row r="98">
          <cell r="A98" t="str">
            <v>PRISIONERO ALLEN 3/8" x 1" ROSCA ORDINARIA GRADO 5</v>
          </cell>
          <cell r="B98">
            <v>2400</v>
          </cell>
        </row>
        <row r="99">
          <cell r="A99" t="str">
            <v>PRISIONERO ALLEN 5/16" X 1" 1/4</v>
          </cell>
          <cell r="B99">
            <v>500</v>
          </cell>
        </row>
        <row r="100">
          <cell r="A100" t="str">
            <v>PRISIONERO ALLEN 5/16" x 1/2"</v>
          </cell>
          <cell r="B100">
            <v>1350</v>
          </cell>
        </row>
        <row r="101">
          <cell r="A101" t="str">
            <v>PRISIONERO ALLEN 5/16" x 1/2" GRADO 5</v>
          </cell>
          <cell r="B101">
            <v>300</v>
          </cell>
        </row>
        <row r="102">
          <cell r="A102" t="str">
            <v>PRISIONERO ALLEN 5/16" x 1/2" ROSCA ORDINARIA GRADO 5</v>
          </cell>
          <cell r="B102">
            <v>1350</v>
          </cell>
        </row>
        <row r="103">
          <cell r="A103" t="str">
            <v>PRISIONERO ALLEN 5/16" x 3/4"</v>
          </cell>
          <cell r="B103">
            <v>350</v>
          </cell>
        </row>
        <row r="104">
          <cell r="A104" t="str">
            <v>PRISIONERO CABEZA CUADRADA 1/4" X 1" 1/2</v>
          </cell>
          <cell r="B104">
            <v>300</v>
          </cell>
        </row>
        <row r="105">
          <cell r="A105" t="str">
            <v>PRISIONERO CABEZA CUADRADA 3/8" x 1 1/2" ROSCA ORDINARIA GRADO 5</v>
          </cell>
          <cell r="B105">
            <v>3100</v>
          </cell>
        </row>
        <row r="106">
          <cell r="A106" t="str">
            <v>PRISIONERO CABEZA CUADRADA 3/8" x 1" 1/2 ROSCA ORDINARIA GRADO 5</v>
          </cell>
          <cell r="B106">
            <v>650</v>
          </cell>
        </row>
        <row r="107">
          <cell r="A107" t="str">
            <v>PRISIONERO CABEZA CUADRADA 3/8" x 2"</v>
          </cell>
          <cell r="B107">
            <v>900</v>
          </cell>
        </row>
        <row r="108">
          <cell r="A108" t="str">
            <v>PRISIONERO CABEZA CUADRADA 3/8" x 3/4"</v>
          </cell>
          <cell r="B108">
            <v>350</v>
          </cell>
        </row>
        <row r="109">
          <cell r="A109" t="str">
            <v>PRISIONERO CABEZA CUADRADA 3/8"-16x1" 1/4"</v>
          </cell>
          <cell r="B109">
            <v>450</v>
          </cell>
        </row>
        <row r="110">
          <cell r="A110" t="str">
            <v>PRISIONERO CABEZA CUADRADA 5/16"x3/4" (DISCOS)</v>
          </cell>
          <cell r="B110">
            <v>1350</v>
          </cell>
        </row>
        <row r="111">
          <cell r="A111" t="str">
            <v>RODAMIENTO 6008</v>
          </cell>
          <cell r="B111">
            <v>22000</v>
          </cell>
        </row>
        <row r="112">
          <cell r="A112" t="str">
            <v>RODAMIENTO 6205 2RSC3-1</v>
          </cell>
          <cell r="B112">
            <v>29000</v>
          </cell>
        </row>
        <row r="113">
          <cell r="A113" t="str">
            <v>RODILLO EMPAQUE ϕ1" LARGO 30 mm PERFORACIÓN 3/8"</v>
          </cell>
          <cell r="B113">
            <v>2500</v>
          </cell>
        </row>
        <row r="114">
          <cell r="A114" t="str">
            <v>RODILLO TENSOR CADENA EN EMPACK</v>
          </cell>
          <cell r="B114">
            <v>19000</v>
          </cell>
        </row>
        <row r="115">
          <cell r="A115" t="str">
            <v>TAPA TUBOS REMELLONES</v>
          </cell>
          <cell r="B115">
            <v>1000</v>
          </cell>
        </row>
        <row r="116">
          <cell r="A116" t="str">
            <v>TORNILLO 1/2" X 1" GRADO 5</v>
          </cell>
          <cell r="B116">
            <v>1850</v>
          </cell>
        </row>
        <row r="117">
          <cell r="A117" t="str">
            <v xml:space="preserve">TORNILLO 3 MM AUTOPERFORANTE </v>
          </cell>
          <cell r="B117">
            <v>250</v>
          </cell>
        </row>
        <row r="118">
          <cell r="A118" t="str">
            <v>TORNILLO 3/8" X 2"</v>
          </cell>
          <cell r="B118">
            <v>700</v>
          </cell>
        </row>
        <row r="119">
          <cell r="A119" t="str">
            <v>TORNILLO 5/16" x 1/2" GALVANIZADO</v>
          </cell>
          <cell r="B119">
            <v>400</v>
          </cell>
        </row>
        <row r="120">
          <cell r="A120" t="str">
            <v>TORNILLO 5/16" x 1/2" GRADO 5 (CONTRACUCHILLA)</v>
          </cell>
          <cell r="B120">
            <v>850</v>
          </cell>
        </row>
        <row r="121">
          <cell r="A121" t="str">
            <v>TORNILLO 5/16" x 3/4" GRADO 5</v>
          </cell>
          <cell r="B121">
            <v>150</v>
          </cell>
        </row>
        <row r="122">
          <cell r="A122" t="str">
            <v>TORNILLO ALLEN 1/4" x 1"</v>
          </cell>
          <cell r="B122">
            <v>350</v>
          </cell>
        </row>
        <row r="123">
          <cell r="A123" t="str">
            <v>TORNILLO AUTOPERFORANTE 1" 1/4</v>
          </cell>
          <cell r="B123">
            <v>750</v>
          </cell>
        </row>
        <row r="124">
          <cell r="A124" t="str">
            <v xml:space="preserve">TORNILLO CABEZA CUADRADA 1/4" X 1" 1/2 </v>
          </cell>
          <cell r="B124">
            <v>260</v>
          </cell>
        </row>
        <row r="125">
          <cell r="A125" t="str">
            <v>TORNILLO CABEZA CUADRADA 3/8" x 1" 1/2 GRADO 5</v>
          </cell>
          <cell r="B125">
            <v>6118</v>
          </cell>
        </row>
        <row r="126">
          <cell r="A126" t="str">
            <v>TORNILLO CABEZA CUADRADA 5/16" X 3/4" GRADO</v>
          </cell>
          <cell r="B126">
            <v>700</v>
          </cell>
        </row>
        <row r="127">
          <cell r="A127" t="str">
            <v>TORNILLO CARRIAJE GALVANIZADO 5/16" x 2 1/2" (BASE MADERA)</v>
          </cell>
          <cell r="B127">
            <v>3250</v>
          </cell>
        </row>
        <row r="128">
          <cell r="A128" t="str">
            <v>TORNILLO CARRIAJE GALVANIZADO 5/16" x 2" 1/2 (BASE MADERA)</v>
          </cell>
          <cell r="B128">
            <v>769</v>
          </cell>
        </row>
        <row r="129">
          <cell r="A129" t="str">
            <v>TORNILLO CILINDRICO 1/4" X 1" 1/2 GRADO 5</v>
          </cell>
          <cell r="B129">
            <v>1800</v>
          </cell>
        </row>
        <row r="130">
          <cell r="A130" t="str">
            <v xml:space="preserve">TORNILLO CILINDRICO 1/4" X 1" 1/4 </v>
          </cell>
          <cell r="B130">
            <v>1600</v>
          </cell>
        </row>
        <row r="131">
          <cell r="A131" t="str">
            <v>TORNILLO CILINDRICO 1/4" x 1" GRADO 5</v>
          </cell>
          <cell r="B131">
            <v>1050</v>
          </cell>
        </row>
        <row r="132">
          <cell r="A132" t="str">
            <v>TORNILLO GRADO 5 DE 5/16" PASO 1.25 X 1" 1/2 CABEZA HEXAGONAL</v>
          </cell>
          <cell r="B132">
            <v>850</v>
          </cell>
        </row>
        <row r="133">
          <cell r="A133" t="str">
            <v>TORNILLO GRADO 5 DE 5/16" ROSCA FINA 35 MM CABELLA ALLEN</v>
          </cell>
          <cell r="B133">
            <v>587</v>
          </cell>
        </row>
        <row r="134">
          <cell r="A134" t="str">
            <v xml:space="preserve">TORNILLO HEXAGONAL 1/2" x 1" 1/2 </v>
          </cell>
          <cell r="B134">
            <v>800</v>
          </cell>
        </row>
        <row r="135">
          <cell r="A135" t="str">
            <v>TORNILLO HEXAGONAL 1/2" X 1" ROSCA FINA GRADO 5</v>
          </cell>
          <cell r="B135">
            <v>900</v>
          </cell>
        </row>
        <row r="136">
          <cell r="A136" t="str">
            <v>TORNILLO HEXAGONAL 1/2" x 2"</v>
          </cell>
          <cell r="B136">
            <v>770</v>
          </cell>
        </row>
        <row r="137">
          <cell r="A137" t="str">
            <v>TORNILLO HEXAGONAL 1/2" x 3/4" GRADO 5</v>
          </cell>
          <cell r="B137">
            <v>700</v>
          </cell>
        </row>
        <row r="138">
          <cell r="A138" t="str">
            <v>TORNILLO HEXAGONAL 1/2" X 4" GRADO 5</v>
          </cell>
          <cell r="B138">
            <v>4700</v>
          </cell>
        </row>
        <row r="139">
          <cell r="A139" t="str">
            <v>TORNILLO HEXAGONAL 1/2" x1" 1/2 GRADO 5</v>
          </cell>
          <cell r="B139">
            <v>3500</v>
          </cell>
        </row>
        <row r="140">
          <cell r="A140" t="str">
            <v>TORNILLO HEXAGONAL 1/4" x 1 1/2" ROSCA ORDINARIA GRADO 2</v>
          </cell>
          <cell r="B140">
            <v>600</v>
          </cell>
        </row>
        <row r="141">
          <cell r="A141" t="str">
            <v>TORNILLO HEXAGONAL 1/4" x 1" 1/2 ROSCA ORDINARIA GRADO 2</v>
          </cell>
          <cell r="B141">
            <v>500</v>
          </cell>
        </row>
        <row r="142">
          <cell r="A142" t="str">
            <v>TORNILLO HEXAGONAL 1/4" x 1" ROSCA ORDINARIA GRADO 2</v>
          </cell>
          <cell r="B142">
            <v>250</v>
          </cell>
        </row>
        <row r="143">
          <cell r="A143" t="str">
            <v>TORNILLO HEXAGONAL 1/4" x 1" 1/4 ROSCA ORDINARIA GRADO 2</v>
          </cell>
          <cell r="B143">
            <v>250</v>
          </cell>
        </row>
        <row r="144">
          <cell r="A144" t="str">
            <v xml:space="preserve">TORNILLO HEXAGONAL 1/4" x 1/2" ROSCA ORDINARIA </v>
          </cell>
          <cell r="B144">
            <v>250</v>
          </cell>
        </row>
        <row r="145">
          <cell r="A145" t="str">
            <v>TORNILLO HEXAGONAL 1/4" x 1/2" ROSCA ORDINARIA ACERO INOXIDABLE</v>
          </cell>
          <cell r="B145">
            <v>250</v>
          </cell>
        </row>
        <row r="146">
          <cell r="A146" t="str">
            <v>TORNILLO HEXAGONAL 1/4" X 2"</v>
          </cell>
          <cell r="B146">
            <v>600</v>
          </cell>
        </row>
        <row r="147">
          <cell r="A147" t="str">
            <v>TORNILLO HEXAGONAL 1/4" x 3/4" ACERO INOXIDABLE</v>
          </cell>
          <cell r="B147">
            <v>400</v>
          </cell>
        </row>
        <row r="148">
          <cell r="A148" t="str">
            <v>TORNILLO HEXAGONAL 1/4" x 3/4" ROSCA ORDINARIA GRADO 2</v>
          </cell>
          <cell r="B148">
            <v>250</v>
          </cell>
        </row>
        <row r="149">
          <cell r="A149" t="str">
            <v>TORNILLO HEXAGONAL 1/4" x 3/4" ROSCA ORDINARIA GRADO 5</v>
          </cell>
          <cell r="B149">
            <v>250</v>
          </cell>
        </row>
        <row r="150">
          <cell r="A150" t="str">
            <v>TORNILLO HEXAGONAL 11/16" x 5" 1/2</v>
          </cell>
          <cell r="B150">
            <v>4500</v>
          </cell>
        </row>
        <row r="151">
          <cell r="A151" t="str">
            <v>TORNILLO HEXAGONAL 3/4" X 4" GRADO 5</v>
          </cell>
          <cell r="B151">
            <v>9500</v>
          </cell>
        </row>
        <row r="152">
          <cell r="A152" t="str">
            <v>TORNILLO HEXAGONAL 3/8" x 1 1/2" ROSCA ORDINARIA GRADO 2</v>
          </cell>
          <cell r="B152">
            <v>350</v>
          </cell>
        </row>
        <row r="153">
          <cell r="A153" t="str">
            <v>TORNILLO HEXAGONAL 3/8" x 1 1/4" ROSCA ORDINARIA GRADO 2</v>
          </cell>
          <cell r="B153">
            <v>350</v>
          </cell>
        </row>
        <row r="154">
          <cell r="A154" t="str">
            <v>TORNILLO HEXAGONAL 3/8" X 1" 1/2</v>
          </cell>
          <cell r="B154">
            <v>350</v>
          </cell>
        </row>
        <row r="155">
          <cell r="A155" t="str">
            <v>TORNILLO HEXAGONAL 3/8" x 1" 1/2 ACERO INOXIDABLE</v>
          </cell>
          <cell r="B155">
            <v>1200</v>
          </cell>
        </row>
        <row r="156">
          <cell r="A156" t="str">
            <v>TORNILLO HEXAGONAL 3/8" x 1" 1/2" ROSCA ORDINARIA GRADO 2</v>
          </cell>
          <cell r="B156">
            <v>350</v>
          </cell>
        </row>
        <row r="157">
          <cell r="A157" t="str">
            <v>TORNILLO HEXAGONAL 3/8" x 1" 1/4" ROSCA ORDINARIA GRADO 2</v>
          </cell>
          <cell r="B157">
            <v>350</v>
          </cell>
        </row>
        <row r="158">
          <cell r="A158" t="str">
            <v>TORNILLO HEXAGONAL 3/8" x 1" ACERO INOXIDABLE</v>
          </cell>
          <cell r="B158">
            <v>950</v>
          </cell>
        </row>
        <row r="159">
          <cell r="A159" t="str">
            <v>TORNILLO HEXAGONAL 3/8" x 1" ROSCA ORDINARIA GRADO 2</v>
          </cell>
          <cell r="B159">
            <v>350</v>
          </cell>
        </row>
        <row r="160">
          <cell r="A160" t="str">
            <v>TORNILLO HEXAGONAL 3/8" x 2 1/2" ROSCA ORDINARIA GRADO 2</v>
          </cell>
          <cell r="B160">
            <v>350</v>
          </cell>
        </row>
        <row r="161">
          <cell r="A161" t="str">
            <v>TORNILLO HEXAGONAL 3/8" x 2" 1/2 ROSCA ORDINARIA GRADO 2</v>
          </cell>
          <cell r="B161">
            <v>1600</v>
          </cell>
        </row>
        <row r="162">
          <cell r="A162" t="str">
            <v>TORNILLO HEXAGONAL 3/8" X 3"</v>
          </cell>
          <cell r="B162">
            <v>2500</v>
          </cell>
        </row>
        <row r="163">
          <cell r="A163" t="str">
            <v>TORNILLO HEXAGONAL 3/8" x 3/4"</v>
          </cell>
          <cell r="B163">
            <v>800</v>
          </cell>
        </row>
        <row r="164">
          <cell r="A164" t="str">
            <v>TORNILLO HEXAGONAL 3/8" x 6"</v>
          </cell>
          <cell r="B164">
            <v>4800</v>
          </cell>
        </row>
        <row r="165">
          <cell r="A165" t="str">
            <v>TORNILLO HEXAGONAL 5/16 X 2" 1/2</v>
          </cell>
          <cell r="B165">
            <v>1000</v>
          </cell>
        </row>
        <row r="166">
          <cell r="A166" t="str">
            <v>TORNILLO HEXAGONAL 5/16" x 1 1/2" ROSCA ORDINARIA GRADO 2</v>
          </cell>
          <cell r="B166">
            <v>300</v>
          </cell>
        </row>
        <row r="167">
          <cell r="A167" t="str">
            <v>TORNILLO HEXAGONAL 5/16" x 1" 1/2 ROSCA FINA GRADO 5</v>
          </cell>
          <cell r="B167">
            <v>400</v>
          </cell>
        </row>
        <row r="168">
          <cell r="A168" t="str">
            <v>TORNILLO HEXAGONAL 5/16" X 1" 1/2 GRADO 5</v>
          </cell>
          <cell r="B168">
            <v>300</v>
          </cell>
        </row>
        <row r="169">
          <cell r="A169" t="str">
            <v>TORNILLO HEXAGONAL 5/16" x 1" 1/2 ROSCA ORDINARIA GRADO 2</v>
          </cell>
          <cell r="B169">
            <v>950</v>
          </cell>
        </row>
        <row r="170">
          <cell r="A170" t="str">
            <v>TORNILLO HEXAGONAL 5/16" x 1" 1/4 ACERO INOXIDABLE</v>
          </cell>
          <cell r="B170">
            <v>800</v>
          </cell>
        </row>
        <row r="171">
          <cell r="A171" t="str">
            <v>TORNILLO HEXAGONAL 5/16" x 1" ROSCA ORDINARIA ACERO INOXIDABLE</v>
          </cell>
          <cell r="B171">
            <v>300</v>
          </cell>
        </row>
        <row r="172">
          <cell r="A172" t="str">
            <v>TORNILLO HEXAGONAL 5/16" x 1" ROSCA ORDINARIA GRADO 2</v>
          </cell>
          <cell r="B172">
            <v>300</v>
          </cell>
        </row>
        <row r="173">
          <cell r="A173" t="str">
            <v>TORNILLO HEXAGONAL 5/16" x 2" ACERO INOXIDABLE</v>
          </cell>
          <cell r="B173">
            <v>1200</v>
          </cell>
        </row>
        <row r="174">
          <cell r="A174" t="str">
            <v>TORNILLO HEXAGONAL 5/16" x 3/4" ACERO INOXIDABLE</v>
          </cell>
          <cell r="B174">
            <v>750</v>
          </cell>
        </row>
        <row r="175">
          <cell r="A175" t="str">
            <v>TORNILLO HEXAGONAL 5/16" X 3/4" GALVANIZADO</v>
          </cell>
          <cell r="B175">
            <v>300</v>
          </cell>
        </row>
        <row r="176">
          <cell r="A176" t="str">
            <v>TORNILLO HEXAGONAL 5/16" X 3/4" GRADO 5</v>
          </cell>
          <cell r="B176">
            <v>750</v>
          </cell>
        </row>
        <row r="177">
          <cell r="A177" t="str">
            <v>TORNILLO HEXAGONAL 5/8" x 1" 1/2 GRADO 5</v>
          </cell>
          <cell r="B177">
            <v>1150</v>
          </cell>
        </row>
        <row r="178">
          <cell r="A178" t="str">
            <v>TORNILLO HEXAGONAL 5/8" x 2" 1/2 GRADO 5</v>
          </cell>
          <cell r="B178">
            <v>1500</v>
          </cell>
        </row>
        <row r="179">
          <cell r="A179" t="str">
            <v>TORNILLO HEXAGONAL 5/8" x 3" 1/2 GRADO 5</v>
          </cell>
          <cell r="B179">
            <v>1800</v>
          </cell>
        </row>
        <row r="180">
          <cell r="A180" t="str">
            <v>TORNILLO HEXAGONAL 5/8" x 3" GRADO 5</v>
          </cell>
          <cell r="B180">
            <v>1650</v>
          </cell>
        </row>
        <row r="181">
          <cell r="A181" t="str">
            <v>TORNILLO HEXAGONAL 7/16" X 1"</v>
          </cell>
          <cell r="B181">
            <v>566</v>
          </cell>
        </row>
        <row r="182">
          <cell r="A182" t="str">
            <v>TORNILLO HEXAGONAL 7/16" X 1" 1/2</v>
          </cell>
          <cell r="B182">
            <v>680</v>
          </cell>
        </row>
        <row r="183">
          <cell r="A183" t="str">
            <v>tornillo HEXAGONAL 9/16" x 1" 1/2 grado 8</v>
          </cell>
          <cell r="B183">
            <v>1160</v>
          </cell>
        </row>
        <row r="184">
          <cell r="A184" t="str">
            <v>TORNILLO HEXAGONAL GALVANIZADO 1/2" x 1" 1/2</v>
          </cell>
          <cell r="B184">
            <v>600</v>
          </cell>
        </row>
        <row r="185">
          <cell r="A185" t="str">
            <v>TORNILLO HEXAGONAL GALVANIZADO 3/8" x 1 1/4" (CHUMACERA)</v>
          </cell>
          <cell r="B185">
            <v>350</v>
          </cell>
        </row>
        <row r="186">
          <cell r="A186" t="str">
            <v>TORNILLO HEXAGONAL GALVANIZADO 5/16" x 1" (PATAS)</v>
          </cell>
          <cell r="B186">
            <v>300</v>
          </cell>
        </row>
        <row r="187">
          <cell r="A187" t="str">
            <v>TORNILLO HEXAGONAL GALVANIZADO 5/16" x 1" 1/2" (GUARDA)</v>
          </cell>
          <cell r="B187">
            <v>300</v>
          </cell>
        </row>
        <row r="188">
          <cell r="A188" t="str">
            <v>TORNILLO HEXAGONAL GALVANIZADO 5/16" x 1" 1/4</v>
          </cell>
          <cell r="B188">
            <v>350</v>
          </cell>
        </row>
        <row r="189">
          <cell r="A189" t="str">
            <v>TORNILLO HEXAGONAL GALVANIZADO 5/16" x 2"</v>
          </cell>
          <cell r="B189">
            <v>350</v>
          </cell>
        </row>
        <row r="190">
          <cell r="A190" t="str">
            <v>TORNILLO HEXAGONAL GALVANIZADO 5/16" x 3"</v>
          </cell>
          <cell r="B190">
            <v>350</v>
          </cell>
        </row>
        <row r="191">
          <cell r="A191" t="str">
            <v>TORNILLO HEXAGONAL GALVANIZADO 5/16" x 3" (ANCLAJE MOTOR)</v>
          </cell>
          <cell r="B191">
            <v>300</v>
          </cell>
        </row>
        <row r="192">
          <cell r="A192" t="str">
            <v>TORNILLO HEXAGONAL GALVANIZADO 5/16" x 3/4" (ACCESORIOS)</v>
          </cell>
          <cell r="B192">
            <v>300</v>
          </cell>
        </row>
        <row r="193">
          <cell r="A193" t="str">
            <v>TORNILLO HEXAGONAL GALVANIZADO 5/16" x 4" (PATAS)</v>
          </cell>
          <cell r="B193">
            <v>350</v>
          </cell>
        </row>
        <row r="194">
          <cell r="A194" t="str">
            <v>TORNILLO M4 X 12</v>
          </cell>
          <cell r="B194">
            <v>800</v>
          </cell>
        </row>
        <row r="195">
          <cell r="A195" t="str">
            <v>TORNILLO M5 X 10</v>
          </cell>
          <cell r="B195">
            <v>900</v>
          </cell>
        </row>
        <row r="196">
          <cell r="A196" t="str">
            <v>TORNILLO M6 X 16</v>
          </cell>
          <cell r="B196">
            <v>1000</v>
          </cell>
        </row>
        <row r="197">
          <cell r="A197" t="str">
            <v>TORNILLO MARIPOSA 1/4" X 1/2"</v>
          </cell>
          <cell r="B197">
            <v>800</v>
          </cell>
        </row>
        <row r="198">
          <cell r="A198" t="str">
            <v>TORNILLO MARIPOSA 1/4" X 3/4"</v>
          </cell>
          <cell r="B198">
            <v>800</v>
          </cell>
        </row>
        <row r="199">
          <cell r="A199" t="str">
            <v>TORNILLO MARIPOSA 3/8" X 2"</v>
          </cell>
          <cell r="B199">
            <v>900</v>
          </cell>
        </row>
        <row r="200">
          <cell r="A200" t="str">
            <v>TORNILLO MILIMETRICO M4 X 10</v>
          </cell>
          <cell r="B200">
            <v>800</v>
          </cell>
        </row>
        <row r="201">
          <cell r="A201" t="str">
            <v>TORNILLO MILIMETRICO M4 X 40</v>
          </cell>
          <cell r="B201">
            <v>900</v>
          </cell>
        </row>
        <row r="202">
          <cell r="A202" t="str">
            <v>TORNILLO MILIMETRICO M6 X 10</v>
          </cell>
          <cell r="B202">
            <v>1000</v>
          </cell>
        </row>
        <row r="203">
          <cell r="A203" t="str">
            <v>TUERCA 1/2" GRADO 5</v>
          </cell>
          <cell r="B203">
            <v>305</v>
          </cell>
        </row>
        <row r="204">
          <cell r="A204" t="str">
            <v>TUERCA 3/4"</v>
          </cell>
          <cell r="B204">
            <v>1800</v>
          </cell>
        </row>
        <row r="205">
          <cell r="A205" t="str">
            <v>tuerca 3/8 grado 5</v>
          </cell>
          <cell r="B205">
            <v>205</v>
          </cell>
        </row>
        <row r="206">
          <cell r="A206" t="str">
            <v>TUERCA 3/8" ACERO INOXIDABLE</v>
          </cell>
          <cell r="B206">
            <v>370</v>
          </cell>
        </row>
        <row r="207">
          <cell r="A207" t="str">
            <v>TUERCA 7/8"</v>
          </cell>
          <cell r="B207">
            <v>1600</v>
          </cell>
        </row>
        <row r="208">
          <cell r="A208" t="str">
            <v>TUERCA DE ANCLAJE 5/16"</v>
          </cell>
          <cell r="B208">
            <v>1450</v>
          </cell>
        </row>
        <row r="209">
          <cell r="A209" t="str">
            <v>TUERCA DE SEGURIDAD 1/4" ACERO INOXIDABLE</v>
          </cell>
          <cell r="B209">
            <v>1500</v>
          </cell>
        </row>
        <row r="210">
          <cell r="A210" t="str">
            <v>TUERCA DE SEGURIDAD 3/8" ROSCA ORDINARIA GRADO 2</v>
          </cell>
          <cell r="B210">
            <v>180</v>
          </cell>
        </row>
        <row r="211">
          <cell r="A211" t="str">
            <v>TUERCA DE SEGURIDAD GALVANIZADA 3/8"</v>
          </cell>
          <cell r="B211">
            <v>435</v>
          </cell>
        </row>
        <row r="212">
          <cell r="A212" t="str">
            <v xml:space="preserve">TUERCA DE SEGURIDAD GALVANIZADA 3/8" INOXIDABLE </v>
          </cell>
          <cell r="B212">
            <v>900</v>
          </cell>
        </row>
        <row r="213">
          <cell r="A213" t="str">
            <v>TUERCA DE SEGURIDAD GALVANIZADA 5/16"</v>
          </cell>
          <cell r="B213">
            <v>400</v>
          </cell>
        </row>
        <row r="214">
          <cell r="A214" t="str">
            <v>TUERCA GALVANIZADA 1/2"</v>
          </cell>
          <cell r="B214">
            <v>200</v>
          </cell>
        </row>
        <row r="215">
          <cell r="A215" t="str">
            <v>TUERCA GALVANIZADA 11/16</v>
          </cell>
          <cell r="B215">
            <v>4500</v>
          </cell>
        </row>
        <row r="216">
          <cell r="A216" t="str">
            <v>TUERCA GALVANIZADA 3/8"</v>
          </cell>
          <cell r="B216">
            <v>150</v>
          </cell>
        </row>
        <row r="217">
          <cell r="A217" t="str">
            <v>TUERCA GALVANIZADA 5/16"</v>
          </cell>
          <cell r="B217">
            <v>250</v>
          </cell>
        </row>
        <row r="218">
          <cell r="A218" t="str">
            <v>TUERCA GALVANIZADA 5MM</v>
          </cell>
          <cell r="B218">
            <v>417</v>
          </cell>
        </row>
        <row r="219">
          <cell r="A219" t="str">
            <v>TUERCA GALVANIZADA 7/16"</v>
          </cell>
          <cell r="B219">
            <v>130</v>
          </cell>
        </row>
        <row r="220">
          <cell r="A220" t="str">
            <v>TUERCA HEXAGONAL 1/4" ACERO INOXIDABLE SEGURIDAD</v>
          </cell>
          <cell r="B220">
            <v>500</v>
          </cell>
        </row>
        <row r="221">
          <cell r="A221" t="str">
            <v>TUERCA HEXAGONAL 1/4" GRADO 5</v>
          </cell>
          <cell r="B221">
            <v>200</v>
          </cell>
        </row>
        <row r="222">
          <cell r="A222" t="str">
            <v>TUERCA HEXAGONAL 1/4" ROSCA ORDINARIA</v>
          </cell>
          <cell r="B222">
            <v>145</v>
          </cell>
        </row>
        <row r="223">
          <cell r="A223" t="str">
            <v>TUERCA HEXAGONAL 1/4" ROSCA ORDINARIA ACERO INOXIDABLE</v>
          </cell>
          <cell r="B223">
            <v>145</v>
          </cell>
        </row>
        <row r="224">
          <cell r="A224" t="str">
            <v>TUERCA HEXAGONAL 1/4" ROSCA ORDINARIA GRADO 2</v>
          </cell>
          <cell r="B224">
            <v>145</v>
          </cell>
        </row>
        <row r="225">
          <cell r="A225" t="str">
            <v>TUERCA HEXAGONAL 3/8" ROSCA ORDINARIA GRADO 2</v>
          </cell>
          <cell r="B225">
            <v>210</v>
          </cell>
        </row>
        <row r="226">
          <cell r="A226" t="str">
            <v>TUERCA HEXAGONAL 3/8" ROSCA ORDINARIA GRADO 5</v>
          </cell>
          <cell r="B226">
            <v>210</v>
          </cell>
        </row>
        <row r="227">
          <cell r="A227" t="str">
            <v>TUERCA HEXAGONAL 3/8" ROSCA ORDINARIA GRADO 5 (PARA SOLDAR)</v>
          </cell>
          <cell r="B227">
            <v>210</v>
          </cell>
        </row>
        <row r="228">
          <cell r="A228" t="str">
            <v>TUERCA HEXAGONAL 5/16" ROSCA ORDINARIA ACERO INOXIDABLE</v>
          </cell>
          <cell r="B228">
            <v>180</v>
          </cell>
        </row>
        <row r="229">
          <cell r="A229" t="str">
            <v>TUERCA HEXAGONAL 5/16" ROSCA ORDINARIA GRADO 2</v>
          </cell>
          <cell r="B229">
            <v>180</v>
          </cell>
        </row>
        <row r="230">
          <cell r="A230" t="str">
            <v>TUERCA HEXAGONAL 9/16" GRADO 5</v>
          </cell>
          <cell r="B230">
            <v>600</v>
          </cell>
        </row>
        <row r="231">
          <cell r="A231" t="str">
            <v>TUERCA HEXAGONAL GALVANIZADA 1/2 "</v>
          </cell>
          <cell r="B231">
            <v>200</v>
          </cell>
        </row>
        <row r="232">
          <cell r="A232" t="str">
            <v>TUERCA M8</v>
          </cell>
          <cell r="B232">
            <v>476</v>
          </cell>
        </row>
        <row r="233">
          <cell r="A233" t="str">
            <v xml:space="preserve">TUERCA MARIPOSA 1/4 ACERO INOXIDABLE </v>
          </cell>
          <cell r="B233">
            <v>150</v>
          </cell>
        </row>
        <row r="234">
          <cell r="A234" t="str">
            <v>TUERCA MARIPOSA 1/4" ROSCA ORDINARIA GALVANIZADA</v>
          </cell>
          <cell r="B234">
            <v>350</v>
          </cell>
        </row>
        <row r="235">
          <cell r="A235" t="str">
            <v>TUERCA MARIPOSA 5/16"</v>
          </cell>
          <cell r="B235">
            <v>300</v>
          </cell>
        </row>
        <row r="236">
          <cell r="A236" t="str">
            <v>TUERCA REMACHE 5MM</v>
          </cell>
          <cell r="B236">
            <v>350</v>
          </cell>
        </row>
        <row r="237">
          <cell r="A237" t="str">
            <v>VARILLA GALVANIZADA ROSCADA 1MT DE 1/2"</v>
          </cell>
          <cell r="B237">
            <v>22000</v>
          </cell>
        </row>
        <row r="238">
          <cell r="A238" t="str">
            <v>VARILLA LISA 1/2" x60mm</v>
          </cell>
          <cell r="B238">
            <v>22000</v>
          </cell>
        </row>
        <row r="239">
          <cell r="A239" t="str">
            <v>VARILLA LISA 1/2" x82mm</v>
          </cell>
          <cell r="B239">
            <v>31900</v>
          </cell>
        </row>
        <row r="240">
          <cell r="A240" t="str">
            <v>VARILLA LISA DE 1/2"</v>
          </cell>
          <cell r="B240">
            <v>32000</v>
          </cell>
        </row>
        <row r="241">
          <cell r="A241" t="str">
            <v>VARILLA REDONDA LISA DE 5/16" x 6 m</v>
          </cell>
          <cell r="B241">
            <v>55000</v>
          </cell>
        </row>
        <row r="242">
          <cell r="A242" t="str">
            <v>VARILLA ROSCADA 1/2" - 13 X 110mm</v>
          </cell>
          <cell r="B242">
            <v>22000</v>
          </cell>
        </row>
        <row r="243">
          <cell r="A243" t="str">
            <v>TORNILLO HEXAGONAL 3/8" x 2" ROSCA ORDINARIA GRADO 2</v>
          </cell>
          <cell r="B243">
            <v>550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F1F966-D057-4BD3-B2EC-0C8BE271D925}" name="Tabla1" displayName="Tabla1" ref="A1:J210" totalsRowCount="1" headerRowDxfId="24" totalsRowDxfId="21" headerRowBorderDxfId="23" tableBorderDxfId="22" totalsRowBorderDxfId="20">
  <autoFilter ref="A1:J209" xr:uid="{27F1F966-D057-4BD3-B2EC-0C8BE271D925}"/>
  <sortState xmlns:xlrd2="http://schemas.microsoft.com/office/spreadsheetml/2017/richdata2" ref="A2:J209">
    <sortCondition ref="A1:A209"/>
  </sortState>
  <tableColumns count="10">
    <tableColumn id="1" xr3:uid="{CABAB37D-132A-400A-94C6-A53E51B3057F}" name="Referencia" totalsRowLabel="Total" dataDxfId="19" totalsRowDxfId="9"/>
    <tableColumn id="2" xr3:uid="{421DD1D8-6CB2-431B-8A54-C05ED548C598}" name="Peso unitario (gr)" totalsRowFunction="sum" dataDxfId="18" totalsRowDxfId="8"/>
    <tableColumn id="3" xr3:uid="{77EB1559-FFF5-43B3-833F-9B20DED827CF}" name="Peso x 100 (gr)" totalsRowFunction="sum" dataDxfId="17" totalsRowDxfId="7"/>
    <tableColumn id="4" xr3:uid="{709D8401-91F2-4BBA-9531-1E990E369FDF}" name="Cantidad total (un)" totalsRowFunction="sum" dataDxfId="16" totalsRowDxfId="6"/>
    <tableColumn id="6" xr3:uid="{FF6B4151-28CE-4D03-A15C-F1DBE56DC9FF}" name="Entregadas" totalsRowFunction="sum" dataDxfId="15" totalsRowDxfId="5"/>
    <tableColumn id="9" xr3:uid="{31E33335-F189-4244-B979-5011AB83B61F}" name="Peso entregadas (kg)" totalsRowFunction="sum" dataDxfId="14" totalsRowDxfId="4">
      <calculatedColumnFormula>Tabla1[[#This Row],[Peso unitario (gr)]]*Tabla1[[#This Row],[Entregadas]]</calculatedColumnFormula>
    </tableColumn>
    <tableColumn id="7" xr3:uid="{E4535316-2B0E-4C82-AE7D-D33B9881C934}" name="Total disponibles" totalsRowFunction="sum" dataDxfId="13" totalsRowDxfId="3">
      <calculatedColumnFormula>Tabla1[[#This Row],[Cantidad total (un)]]-Tabla1[[#This Row],[Entregadas]]</calculatedColumnFormula>
    </tableColumn>
    <tableColumn id="10" xr3:uid="{1F215916-D9E4-4699-8C7B-DE8DC1AED210}" name="Peso total (kg)" totalsRowFunction="sum" dataDxfId="12" totalsRowDxfId="2">
      <calculatedColumnFormula>(Tabla1[[#This Row],[Total disponibles]]*Tabla1[[#This Row],[Peso unitario (gr)]])/1000</calculatedColumnFormula>
    </tableColumn>
    <tableColumn id="8" xr3:uid="{4345A277-FF3F-4817-A8CC-50B022645D0D}" name="Precio unitario" totalsRowFunction="sum" dataDxfId="11" totalsRowDxfId="1"/>
    <tableColumn id="5" xr3:uid="{76913716-CDFD-4DA9-AFBE-DDEF78B8A5FC}" name="Precio Total" totalsRowFunction="sum" dataDxfId="10" totalsRowDxfId="0">
      <calculatedColumnFormula>Tabla1[[#This Row],[Precio unitario]]*Tabla1[[#This Row],[Total disponibles]]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B87F-D4EB-8440-966D-5BFFA935FADB}">
  <sheetPr codeName="Hoja1"/>
  <dimension ref="A1:J210"/>
  <sheetViews>
    <sheetView tabSelected="1" topLeftCell="A115" zoomScale="70" zoomScaleNormal="70" zoomScaleSheetLayoutView="100" workbookViewId="0">
      <selection activeCell="T138" sqref="T138"/>
    </sheetView>
  </sheetViews>
  <sheetFormatPr baseColWidth="10" defaultColWidth="9.140625" defaultRowHeight="15" x14ac:dyDescent="0.25"/>
  <cols>
    <col min="1" max="1" width="80.42578125" bestFit="1" customWidth="1"/>
    <col min="2" max="2" width="18.85546875" bestFit="1" customWidth="1"/>
    <col min="3" max="3" width="16.140625" bestFit="1" customWidth="1"/>
    <col min="4" max="4" width="20.28515625" bestFit="1" customWidth="1"/>
    <col min="5" max="5" width="13.28515625" bestFit="1" customWidth="1"/>
    <col min="6" max="6" width="22.140625" bestFit="1" customWidth="1"/>
    <col min="7" max="7" width="18.85546875" bestFit="1" customWidth="1"/>
    <col min="8" max="8" width="16.140625" style="13" bestFit="1" customWidth="1"/>
    <col min="9" max="9" width="22.140625" style="5" bestFit="1" customWidth="1"/>
    <col min="10" max="10" width="18.7109375" style="16" bestFit="1" customWidth="1"/>
  </cols>
  <sheetData>
    <row r="1" spans="1:10" x14ac:dyDescent="0.25">
      <c r="A1" s="7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0" t="s">
        <v>7</v>
      </c>
      <c r="I1" s="6" t="s">
        <v>8</v>
      </c>
      <c r="J1" s="15" t="s">
        <v>9</v>
      </c>
    </row>
    <row r="2" spans="1:10" x14ac:dyDescent="0.25">
      <c r="A2" s="8" t="s">
        <v>10</v>
      </c>
      <c r="B2" s="1">
        <v>9.6</v>
      </c>
      <c r="C2" s="1">
        <f>Tabla1[[#This Row],[Peso unitario (gr)]]*100</f>
        <v>960</v>
      </c>
      <c r="D2" s="1">
        <v>423</v>
      </c>
      <c r="E2" s="1">
        <v>0</v>
      </c>
      <c r="F2" s="1">
        <f>Tabla1[[#This Row],[Peso unitario (gr)]]*Tabla1[[#This Row],[Entregadas]]</f>
        <v>0</v>
      </c>
      <c r="G2" s="1">
        <f>Tabla1[[#This Row],[Cantidad total (un)]]-Tabla1[[#This Row],[Entregadas]]</f>
        <v>423</v>
      </c>
      <c r="H2" s="11">
        <f>(Tabla1[[#This Row],[Total disponibles]]*Tabla1[[#This Row],[Peso unitario (gr)]])/1000</f>
        <v>4.0607999999999995</v>
      </c>
      <c r="I2" s="14">
        <f>VLOOKUP(Tabla1[[#This Row],[Referencia]],[1]Hoja1!$A$1:$B$301,2,FALSE)</f>
        <v>1350</v>
      </c>
      <c r="J2" s="16">
        <f>Tabla1[[#This Row],[Precio unitario]]*Tabla1[[#This Row],[Total disponibles]]</f>
        <v>571050</v>
      </c>
    </row>
    <row r="3" spans="1:10" x14ac:dyDescent="0.25">
      <c r="A3" s="8" t="s">
        <v>11</v>
      </c>
      <c r="B3" s="1">
        <v>9.6</v>
      </c>
      <c r="C3" s="1">
        <f>Tabla1[[#This Row],[Peso unitario (gr)]]*100</f>
        <v>960</v>
      </c>
      <c r="D3" s="1">
        <v>102</v>
      </c>
      <c r="E3" s="1">
        <v>21</v>
      </c>
      <c r="F3" s="1">
        <f>Tabla1[[#This Row],[Peso unitario (gr)]]*Tabla1[[#This Row],[Entregadas]]</f>
        <v>201.6</v>
      </c>
      <c r="G3" s="1">
        <f>Tabla1[[#This Row],[Cantidad total (un)]]-Tabla1[[#This Row],[Entregadas]]</f>
        <v>81</v>
      </c>
      <c r="H3" s="11">
        <f>(Tabla1[[#This Row],[Total disponibles]]*Tabla1[[#This Row],[Peso unitario (gr)]])/1000</f>
        <v>0.77760000000000007</v>
      </c>
      <c r="I3" s="14">
        <f>VLOOKUP(Tabla1[[#This Row],[Referencia]],[1]Hoja1!$A$1:$B$301,2,FALSE)</f>
        <v>1000</v>
      </c>
      <c r="J3" s="16">
        <f>Tabla1[[#This Row],[Precio unitario]]*Tabla1[[#This Row],[Total disponibles]]</f>
        <v>81000</v>
      </c>
    </row>
    <row r="4" spans="1:10" x14ac:dyDescent="0.25">
      <c r="A4" s="8" t="s">
        <v>12</v>
      </c>
      <c r="B4" s="1">
        <v>5</v>
      </c>
      <c r="C4" s="1">
        <f>Tabla1[[#This Row],[Peso unitario (gr)]]*100</f>
        <v>500</v>
      </c>
      <c r="D4" s="1">
        <v>1000</v>
      </c>
      <c r="E4" s="1">
        <v>200</v>
      </c>
      <c r="F4" s="1">
        <f>Tabla1[[#This Row],[Peso unitario (gr)]]*Tabla1[[#This Row],[Entregadas]]</f>
        <v>1000</v>
      </c>
      <c r="G4" s="1">
        <f>Tabla1[[#This Row],[Cantidad total (un)]]-Tabla1[[#This Row],[Entregadas]]</f>
        <v>800</v>
      </c>
      <c r="H4" s="11">
        <f>(Tabla1[[#This Row],[Total disponibles]]*Tabla1[[#This Row],[Peso unitario (gr)]])/1000</f>
        <v>4</v>
      </c>
      <c r="I4" s="14">
        <f>VLOOKUP(Tabla1[[#This Row],[Referencia]],[1]Hoja1!$A$1:$B$301,2,FALSE)</f>
        <v>200</v>
      </c>
      <c r="J4" s="16">
        <f>Tabla1[[#This Row],[Precio unitario]]*Tabla1[[#This Row],[Total disponibles]]</f>
        <v>160000</v>
      </c>
    </row>
    <row r="5" spans="1:10" x14ac:dyDescent="0.25">
      <c r="A5" s="8" t="s">
        <v>13</v>
      </c>
      <c r="B5" s="1">
        <v>1.6</v>
      </c>
      <c r="C5" s="1">
        <f>Tabla1[[#This Row],[Peso unitario (gr)]]*100</f>
        <v>160</v>
      </c>
      <c r="D5" s="1">
        <f>136+326+52+257</f>
        <v>771</v>
      </c>
      <c r="E5" s="1">
        <v>0</v>
      </c>
      <c r="F5" s="1">
        <f>Tabla1[[#This Row],[Peso unitario (gr)]]*Tabla1[[#This Row],[Entregadas]]</f>
        <v>0</v>
      </c>
      <c r="G5" s="1">
        <f>Tabla1[[#This Row],[Cantidad total (un)]]-Tabla1[[#This Row],[Entregadas]]</f>
        <v>771</v>
      </c>
      <c r="H5" s="11">
        <f>(Tabla1[[#This Row],[Total disponibles]]*Tabla1[[#This Row],[Peso unitario (gr)]])/1000</f>
        <v>1.2336</v>
      </c>
      <c r="I5" s="14">
        <f>VLOOKUP(Tabla1[[#This Row],[Referencia]],[1]Hoja1!$A$1:$B$301,2,FALSE)</f>
        <v>124</v>
      </c>
      <c r="J5" s="16">
        <f>Tabla1[[#This Row],[Precio unitario]]*Tabla1[[#This Row],[Total disponibles]]</f>
        <v>95604</v>
      </c>
    </row>
    <row r="6" spans="1:10" x14ac:dyDescent="0.25">
      <c r="A6" s="8" t="s">
        <v>14</v>
      </c>
      <c r="B6" s="1">
        <v>16.3</v>
      </c>
      <c r="C6" s="1">
        <f>Tabla1[[#This Row],[Peso unitario (gr)]]*100</f>
        <v>1630</v>
      </c>
      <c r="D6" s="1">
        <v>46</v>
      </c>
      <c r="E6" s="1">
        <v>0</v>
      </c>
      <c r="F6" s="1">
        <f>Tabla1[[#This Row],[Peso unitario (gr)]]*Tabla1[[#This Row],[Entregadas]]</f>
        <v>0</v>
      </c>
      <c r="G6" s="1">
        <f>Tabla1[[#This Row],[Cantidad total (un)]]-Tabla1[[#This Row],[Entregadas]]</f>
        <v>46</v>
      </c>
      <c r="H6" s="11">
        <f>(Tabla1[[#This Row],[Total disponibles]]*Tabla1[[#This Row],[Peso unitario (gr)]])/1000</f>
        <v>0.74980000000000002</v>
      </c>
      <c r="I6" s="14">
        <f>VLOOKUP(Tabla1[[#This Row],[Referencia]],[1]Hoja1!$A$1:$B$301,2,FALSE)</f>
        <v>390</v>
      </c>
      <c r="J6" s="16">
        <f>Tabla1[[#This Row],[Precio unitario]]*Tabla1[[#This Row],[Total disponibles]]</f>
        <v>17940</v>
      </c>
    </row>
    <row r="7" spans="1:10" x14ac:dyDescent="0.25">
      <c r="A7" s="8" t="s">
        <v>15</v>
      </c>
      <c r="B7" s="1">
        <v>8.5</v>
      </c>
      <c r="C7" s="1">
        <f>Tabla1[[#This Row],[Peso unitario (gr)]]*100</f>
        <v>850</v>
      </c>
      <c r="D7" s="1">
        <f>138+48+115</f>
        <v>301</v>
      </c>
      <c r="E7" s="1">
        <f>10+50+8</f>
        <v>68</v>
      </c>
      <c r="F7" s="1">
        <f>Tabla1[[#This Row],[Peso unitario (gr)]]*Tabla1[[#This Row],[Entregadas]]</f>
        <v>578</v>
      </c>
      <c r="G7" s="1">
        <f>Tabla1[[#This Row],[Cantidad total (un)]]-Tabla1[[#This Row],[Entregadas]]</f>
        <v>233</v>
      </c>
      <c r="H7" s="11">
        <f>(Tabla1[[#This Row],[Total disponibles]]*Tabla1[[#This Row],[Peso unitario (gr)]])/1000</f>
        <v>1.9804999999999999</v>
      </c>
      <c r="I7" s="14">
        <f>VLOOKUP(Tabla1[[#This Row],[Referencia]],[1]Hoja1!$A$1:$B$301,2,FALSE)</f>
        <v>300</v>
      </c>
      <c r="J7" s="16">
        <f>Tabla1[[#This Row],[Precio unitario]]*Tabla1[[#This Row],[Total disponibles]]</f>
        <v>69900</v>
      </c>
    </row>
    <row r="8" spans="1:10" x14ac:dyDescent="0.25">
      <c r="A8" s="8" t="s">
        <v>16</v>
      </c>
      <c r="B8" s="1">
        <v>5</v>
      </c>
      <c r="C8" s="1">
        <f>Tabla1[[#This Row],[Peso unitario (gr)]]*100</f>
        <v>500</v>
      </c>
      <c r="D8" s="1">
        <f>679+73+36+500+500</f>
        <v>1788</v>
      </c>
      <c r="E8" s="1">
        <f>500+2+10+200+500</f>
        <v>1212</v>
      </c>
      <c r="F8" s="1">
        <f>Tabla1[[#This Row],[Peso unitario (gr)]]*Tabla1[[#This Row],[Entregadas]]</f>
        <v>6060</v>
      </c>
      <c r="G8" s="1">
        <f>Tabla1[[#This Row],[Cantidad total (un)]]-Tabla1[[#This Row],[Entregadas]]</f>
        <v>576</v>
      </c>
      <c r="H8" s="11">
        <f>(Tabla1[[#This Row],[Total disponibles]]*Tabla1[[#This Row],[Peso unitario (gr)]])/1000</f>
        <v>2.88</v>
      </c>
      <c r="I8" s="14">
        <f>VLOOKUP(Tabla1[[#This Row],[Referencia]],[1]Hoja1!$A$1:$B$301,2,FALSE)</f>
        <v>100</v>
      </c>
      <c r="J8" s="16">
        <f>Tabla1[[#This Row],[Precio unitario]]*Tabla1[[#This Row],[Total disponibles]]</f>
        <v>57600</v>
      </c>
    </row>
    <row r="9" spans="1:10" x14ac:dyDescent="0.25">
      <c r="A9" s="8" t="s">
        <v>17</v>
      </c>
      <c r="B9" s="1">
        <v>28.8</v>
      </c>
      <c r="C9" s="1">
        <f>Tabla1[[#This Row],[Peso unitario (gr)]]*100</f>
        <v>2880</v>
      </c>
      <c r="D9" s="1">
        <v>20</v>
      </c>
      <c r="E9" s="1">
        <v>1</v>
      </c>
      <c r="F9" s="1">
        <f>Tabla1[[#This Row],[Peso unitario (gr)]]*Tabla1[[#This Row],[Entregadas]]</f>
        <v>28.8</v>
      </c>
      <c r="G9" s="1">
        <f>Tabla1[[#This Row],[Cantidad total (un)]]-Tabla1[[#This Row],[Entregadas]]</f>
        <v>19</v>
      </c>
      <c r="H9" s="11">
        <f>(Tabla1[[#This Row],[Total disponibles]]*Tabla1[[#This Row],[Peso unitario (gr)]])/1000</f>
        <v>0.54720000000000002</v>
      </c>
      <c r="I9" s="14">
        <f>VLOOKUP(Tabla1[[#This Row],[Referencia]],[1]Hoja1!$A$1:$B$301,2,FALSE)</f>
        <v>550</v>
      </c>
      <c r="J9" s="16">
        <f>Tabla1[[#This Row],[Precio unitario]]*Tabla1[[#This Row],[Total disponibles]]</f>
        <v>10450</v>
      </c>
    </row>
    <row r="10" spans="1:10" x14ac:dyDescent="0.25">
      <c r="A10" s="8" t="s">
        <v>18</v>
      </c>
      <c r="B10" s="1">
        <v>6.6</v>
      </c>
      <c r="C10" s="1">
        <f>Tabla1[[#This Row],[Peso unitario (gr)]]*100</f>
        <v>660</v>
      </c>
      <c r="D10" s="1">
        <f>2688+24+29+500+3000</f>
        <v>6241</v>
      </c>
      <c r="E10" s="1">
        <f>1000+600+50+200+200+200+200+1000</f>
        <v>3450</v>
      </c>
      <c r="F10" s="1">
        <f>Tabla1[[#This Row],[Peso unitario (gr)]]*Tabla1[[#This Row],[Entregadas]]</f>
        <v>22770</v>
      </c>
      <c r="G10" s="1">
        <f>Tabla1[[#This Row],[Cantidad total (un)]]-Tabla1[[#This Row],[Entregadas]]</f>
        <v>2791</v>
      </c>
      <c r="H10" s="11">
        <f>(Tabla1[[#This Row],[Total disponibles]]*Tabla1[[#This Row],[Peso unitario (gr)]])/1000</f>
        <v>18.4206</v>
      </c>
      <c r="I10" s="14">
        <f>VLOOKUP(Tabla1[[#This Row],[Referencia]],[1]Hoja1!$A$1:$B$301,2,FALSE)</f>
        <v>150</v>
      </c>
      <c r="J10" s="16">
        <f>Tabla1[[#This Row],[Precio unitario]]*Tabla1[[#This Row],[Total disponibles]]</f>
        <v>418650</v>
      </c>
    </row>
    <row r="11" spans="1:10" x14ac:dyDescent="0.25">
      <c r="A11" s="8" t="s">
        <v>19</v>
      </c>
      <c r="B11" s="1">
        <v>6.3</v>
      </c>
      <c r="C11" s="1">
        <f>Tabla1[[#This Row],[Peso unitario (gr)]]*100</f>
        <v>630</v>
      </c>
      <c r="D11" s="1">
        <f>1900</f>
        <v>1900</v>
      </c>
      <c r="E11" s="1">
        <v>900</v>
      </c>
      <c r="F11" s="1">
        <f>Tabla1[[#This Row],[Peso unitario (gr)]]*Tabla1[[#This Row],[Entregadas]]</f>
        <v>5670</v>
      </c>
      <c r="G11" s="1">
        <f>Tabla1[[#This Row],[Cantidad total (un)]]-Tabla1[[#This Row],[Entregadas]]</f>
        <v>1000</v>
      </c>
      <c r="H11" s="11">
        <f>(Tabla1[[#This Row],[Total disponibles]]*Tabla1[[#This Row],[Peso unitario (gr)]])/1000</f>
        <v>6.3</v>
      </c>
      <c r="I11" s="14">
        <f>VLOOKUP(Tabla1[[#This Row],[Referencia]],[1]Hoja1!$A$1:$B$301,2,FALSE)</f>
        <v>200</v>
      </c>
      <c r="J11" s="16">
        <f>Tabla1[[#This Row],[Precio unitario]]*Tabla1[[#This Row],[Total disponibles]]</f>
        <v>200000</v>
      </c>
    </row>
    <row r="12" spans="1:10" x14ac:dyDescent="0.25">
      <c r="A12" s="8" t="s">
        <v>20</v>
      </c>
      <c r="B12" s="1">
        <v>15.9</v>
      </c>
      <c r="C12" s="1">
        <f>Tabla1[[#This Row],[Peso unitario (gr)]]*100</f>
        <v>1590</v>
      </c>
      <c r="D12" s="1">
        <v>95</v>
      </c>
      <c r="E12" s="1">
        <v>0</v>
      </c>
      <c r="F12" s="1">
        <f>Tabla1[[#This Row],[Peso unitario (gr)]]*Tabla1[[#This Row],[Entregadas]]</f>
        <v>0</v>
      </c>
      <c r="G12" s="1">
        <f>Tabla1[[#This Row],[Cantidad total (un)]]-Tabla1[[#This Row],[Entregadas]]</f>
        <v>95</v>
      </c>
      <c r="H12" s="11">
        <f>(Tabla1[[#This Row],[Total disponibles]]*Tabla1[[#This Row],[Peso unitario (gr)]])/1000</f>
        <v>1.5105</v>
      </c>
      <c r="I12" s="14">
        <f>VLOOKUP(Tabla1[[#This Row],[Referencia]],[1]Hoja1!$A$1:$B$301,2,FALSE)</f>
        <v>350</v>
      </c>
      <c r="J12" s="16">
        <f>Tabla1[[#This Row],[Precio unitario]]*Tabla1[[#This Row],[Total disponibles]]</f>
        <v>33250</v>
      </c>
    </row>
    <row r="13" spans="1:10" x14ac:dyDescent="0.25">
      <c r="A13" s="8" t="s">
        <v>21</v>
      </c>
      <c r="B13" s="1">
        <v>1.86</v>
      </c>
      <c r="C13" s="1">
        <f>Tabla1[[#This Row],[Peso unitario (gr)]]*100</f>
        <v>186</v>
      </c>
      <c r="D13" s="1">
        <v>300</v>
      </c>
      <c r="E13" s="1">
        <v>0</v>
      </c>
      <c r="F13" s="1">
        <f>Tabla1[[#This Row],[Peso unitario (gr)]]*Tabla1[[#This Row],[Entregadas]]</f>
        <v>0</v>
      </c>
      <c r="G13" s="1">
        <f>Tabla1[[#This Row],[Cantidad total (un)]]-Tabla1[[#This Row],[Entregadas]]</f>
        <v>300</v>
      </c>
      <c r="H13" s="11">
        <f>(Tabla1[[#This Row],[Total disponibles]]*Tabla1[[#This Row],[Peso unitario (gr)]])/1000</f>
        <v>0.55800000000000005</v>
      </c>
      <c r="I13" s="14">
        <f>VLOOKUP(Tabla1[[#This Row],[Referencia]],[1]Hoja1!$A$1:$B$301,2,FALSE)</f>
        <v>450</v>
      </c>
      <c r="J13" s="16">
        <f>Tabla1[[#This Row],[Precio unitario]]*Tabla1[[#This Row],[Total disponibles]]</f>
        <v>135000</v>
      </c>
    </row>
    <row r="14" spans="1:10" x14ac:dyDescent="0.25">
      <c r="A14" s="8" t="s">
        <v>22</v>
      </c>
      <c r="B14" s="1">
        <v>8.5500000000000007</v>
      </c>
      <c r="C14" s="1">
        <f>Tabla1[[#This Row],[Peso unitario (gr)]]*100</f>
        <v>855.00000000000011</v>
      </c>
      <c r="D14" s="1">
        <f>244+59</f>
        <v>303</v>
      </c>
      <c r="E14" s="1">
        <v>50</v>
      </c>
      <c r="F14" s="1">
        <f>Tabla1[[#This Row],[Peso unitario (gr)]]*Tabla1[[#This Row],[Entregadas]]</f>
        <v>427.50000000000006</v>
      </c>
      <c r="G14" s="1">
        <f>Tabla1[[#This Row],[Cantidad total (un)]]-Tabla1[[#This Row],[Entregadas]]</f>
        <v>253</v>
      </c>
      <c r="H14" s="11">
        <f>(Tabla1[[#This Row],[Total disponibles]]*Tabla1[[#This Row],[Peso unitario (gr)]])/1000</f>
        <v>2.1631499999999999</v>
      </c>
      <c r="I14" s="14">
        <f>VLOOKUP(Tabla1[[#This Row],[Referencia]],[1]Hoja1!$A$1:$B$301,2,FALSE)</f>
        <v>350</v>
      </c>
      <c r="J14" s="16">
        <f>Tabla1[[#This Row],[Precio unitario]]*Tabla1[[#This Row],[Total disponibles]]</f>
        <v>88550</v>
      </c>
    </row>
    <row r="15" spans="1:10" x14ac:dyDescent="0.25">
      <c r="A15" s="8" t="s">
        <v>23</v>
      </c>
      <c r="B15" s="1">
        <v>0</v>
      </c>
      <c r="C15" s="1">
        <f>Tabla1[[#This Row],[Peso unitario (gr)]]*100</f>
        <v>0</v>
      </c>
      <c r="D15" s="1">
        <v>0</v>
      </c>
      <c r="E15" s="1">
        <v>0</v>
      </c>
      <c r="F15" s="1">
        <f>Tabla1[[#This Row],[Peso unitario (gr)]]*Tabla1[[#This Row],[Entregadas]]</f>
        <v>0</v>
      </c>
      <c r="G15" s="1">
        <f>Tabla1[[#This Row],[Cantidad total (un)]]-Tabla1[[#This Row],[Entregadas]]</f>
        <v>0</v>
      </c>
      <c r="H15" s="11">
        <f>(Tabla1[[#This Row],[Total disponibles]]*Tabla1[[#This Row],[Peso unitario (gr)]])/1000</f>
        <v>0</v>
      </c>
      <c r="I15" s="14">
        <f>VLOOKUP(Tabla1[[#This Row],[Referencia]],[1]Hoja1!$A$1:$B$301,2,FALSE)</f>
        <v>26800</v>
      </c>
      <c r="J15" s="16">
        <f>Tabla1[[#This Row],[Precio unitario]]*Tabla1[[#This Row],[Total disponibles]]</f>
        <v>0</v>
      </c>
    </row>
    <row r="16" spans="1:10" x14ac:dyDescent="0.25">
      <c r="A16" s="8" t="s">
        <v>24</v>
      </c>
      <c r="B16" s="1">
        <v>0</v>
      </c>
      <c r="C16" s="1">
        <f>Tabla1[[#This Row],[Peso unitario (gr)]]*100</f>
        <v>0</v>
      </c>
      <c r="D16" s="1">
        <v>0</v>
      </c>
      <c r="E16" s="1">
        <v>0</v>
      </c>
      <c r="F16" s="1">
        <f>Tabla1[[#This Row],[Peso unitario (gr)]]*Tabla1[[#This Row],[Entregadas]]</f>
        <v>0</v>
      </c>
      <c r="G16" s="1">
        <f>Tabla1[[#This Row],[Cantidad total (un)]]-Tabla1[[#This Row],[Entregadas]]</f>
        <v>0</v>
      </c>
      <c r="H16" s="11">
        <f>(Tabla1[[#This Row],[Total disponibles]]*Tabla1[[#This Row],[Peso unitario (gr)]])/1000</f>
        <v>0</v>
      </c>
      <c r="I16" s="14">
        <f>VLOOKUP(Tabla1[[#This Row],[Referencia]],[1]Hoja1!$A$1:$B$301,2,FALSE)</f>
        <v>7300</v>
      </c>
      <c r="J16" s="16">
        <f>Tabla1[[#This Row],[Precio unitario]]*Tabla1[[#This Row],[Total disponibles]]</f>
        <v>0</v>
      </c>
    </row>
    <row r="17" spans="1:10" x14ac:dyDescent="0.25">
      <c r="A17" s="8" t="s">
        <v>25</v>
      </c>
      <c r="B17" s="1">
        <v>1300</v>
      </c>
      <c r="C17" s="1">
        <f>Tabla1[[#This Row],[Peso unitario (gr)]]*100</f>
        <v>130000</v>
      </c>
      <c r="D17" s="1">
        <f>58+75</f>
        <v>133</v>
      </c>
      <c r="E17" s="1">
        <f>14+50+25+25</f>
        <v>114</v>
      </c>
      <c r="F17" s="1">
        <f>Tabla1[[#This Row],[Peso unitario (gr)]]*Tabla1[[#This Row],[Entregadas]]</f>
        <v>148200</v>
      </c>
      <c r="G17" s="1">
        <f>Tabla1[[#This Row],[Cantidad total (un)]]-Tabla1[[#This Row],[Entregadas]]</f>
        <v>19</v>
      </c>
      <c r="H17" s="11">
        <f>(Tabla1[[#This Row],[Total disponibles]]*Tabla1[[#This Row],[Peso unitario (gr)]])/1000</f>
        <v>24.7</v>
      </c>
      <c r="I17" s="14">
        <f>VLOOKUP(Tabla1[[#This Row],[Referencia]],[1]Hoja1!$A$1:$B$301,2,FALSE)</f>
        <v>33000</v>
      </c>
      <c r="J17" s="16">
        <f>Tabla1[[#This Row],[Precio unitario]]*Tabla1[[#This Row],[Total disponibles]]</f>
        <v>627000</v>
      </c>
    </row>
    <row r="18" spans="1:10" x14ac:dyDescent="0.25">
      <c r="A18" s="8" t="s">
        <v>26</v>
      </c>
      <c r="B18" s="1">
        <v>0</v>
      </c>
      <c r="C18" s="1">
        <f>Tabla1[[#This Row],[Peso unitario (gr)]]*100</f>
        <v>0</v>
      </c>
      <c r="D18" s="1">
        <v>0</v>
      </c>
      <c r="E18" s="1">
        <v>0</v>
      </c>
      <c r="F18" s="1">
        <f>Tabla1[[#This Row],[Peso unitario (gr)]]*Tabla1[[#This Row],[Entregadas]]</f>
        <v>0</v>
      </c>
      <c r="G18" s="1">
        <f>Tabla1[[#This Row],[Cantidad total (un)]]-Tabla1[[#This Row],[Entregadas]]</f>
        <v>0</v>
      </c>
      <c r="H18" s="11">
        <f>(Tabla1[[#This Row],[Total disponibles]]*Tabla1[[#This Row],[Peso unitario (gr)]])/1000</f>
        <v>0</v>
      </c>
      <c r="I18" s="14">
        <f>VLOOKUP(Tabla1[[#This Row],[Referencia]],[1]Hoja1!$A$1:$B$301,2,FALSE)</f>
        <v>80000</v>
      </c>
      <c r="J18" s="16">
        <f>Tabla1[[#This Row],[Precio unitario]]*Tabla1[[#This Row],[Total disponibles]]</f>
        <v>0</v>
      </c>
    </row>
    <row r="19" spans="1:10" x14ac:dyDescent="0.25">
      <c r="A19" s="8" t="s">
        <v>27</v>
      </c>
      <c r="B19" s="1">
        <v>0</v>
      </c>
      <c r="C19" s="1">
        <f>Tabla1[[#This Row],[Peso unitario (gr)]]*100</f>
        <v>0</v>
      </c>
      <c r="D19" s="1">
        <v>0</v>
      </c>
      <c r="E19" s="1">
        <v>0</v>
      </c>
      <c r="F19" s="1">
        <f>Tabla1[[#This Row],[Peso unitario (gr)]]*Tabla1[[#This Row],[Entregadas]]</f>
        <v>0</v>
      </c>
      <c r="G19" s="1">
        <f>Tabla1[[#This Row],[Cantidad total (un)]]-Tabla1[[#This Row],[Entregadas]]</f>
        <v>0</v>
      </c>
      <c r="H19" s="11">
        <f>(Tabla1[[#This Row],[Total disponibles]]*Tabla1[[#This Row],[Peso unitario (gr)]])/1000</f>
        <v>0</v>
      </c>
      <c r="I19" s="14">
        <f>VLOOKUP(Tabla1[[#This Row],[Referencia]],[1]Hoja1!$A$1:$B$301,2,FALSE)</f>
        <v>60000</v>
      </c>
      <c r="J19" s="16">
        <f>Tabla1[[#This Row],[Precio unitario]]*Tabla1[[#This Row],[Total disponibles]]</f>
        <v>0</v>
      </c>
    </row>
    <row r="20" spans="1:10" x14ac:dyDescent="0.25">
      <c r="A20" s="8" t="s">
        <v>28</v>
      </c>
      <c r="B20" s="1">
        <v>0</v>
      </c>
      <c r="C20" s="1">
        <f>Tabla1[[#This Row],[Peso unitario (gr)]]*100</f>
        <v>0</v>
      </c>
      <c r="D20" s="1">
        <v>0</v>
      </c>
      <c r="E20" s="1">
        <v>0</v>
      </c>
      <c r="F20" s="1">
        <f>Tabla1[[#This Row],[Peso unitario (gr)]]*Tabla1[[#This Row],[Entregadas]]</f>
        <v>0</v>
      </c>
      <c r="G20" s="1">
        <f>Tabla1[[#This Row],[Cantidad total (un)]]-Tabla1[[#This Row],[Entregadas]]</f>
        <v>0</v>
      </c>
      <c r="H20" s="11">
        <f>(Tabla1[[#This Row],[Total disponibles]]*Tabla1[[#This Row],[Peso unitario (gr)]])/1000</f>
        <v>0</v>
      </c>
      <c r="I20" s="14">
        <f>VLOOKUP(Tabla1[[#This Row],[Referencia]],[1]Hoja1!$A$1:$B$301,2,FALSE)</f>
        <v>35000</v>
      </c>
      <c r="J20" s="16">
        <f>Tabla1[[#This Row],[Precio unitario]]*Tabla1[[#This Row],[Total disponibles]]</f>
        <v>0</v>
      </c>
    </row>
    <row r="21" spans="1:10" x14ac:dyDescent="0.25">
      <c r="A21" s="8" t="s">
        <v>29</v>
      </c>
      <c r="B21" s="1">
        <v>0</v>
      </c>
      <c r="C21" s="1">
        <f>Tabla1[[#This Row],[Peso unitario (gr)]]*100</f>
        <v>0</v>
      </c>
      <c r="D21" s="1">
        <v>0</v>
      </c>
      <c r="E21" s="1">
        <v>0</v>
      </c>
      <c r="F21" s="1">
        <f>Tabla1[[#This Row],[Peso unitario (gr)]]*Tabla1[[#This Row],[Entregadas]]</f>
        <v>0</v>
      </c>
      <c r="G21" s="1">
        <f>Tabla1[[#This Row],[Cantidad total (un)]]-Tabla1[[#This Row],[Entregadas]]</f>
        <v>0</v>
      </c>
      <c r="H21" s="11">
        <f>(Tabla1[[#This Row],[Total disponibles]]*Tabla1[[#This Row],[Peso unitario (gr)]])/1000</f>
        <v>0</v>
      </c>
      <c r="I21" s="14">
        <f>VLOOKUP(Tabla1[[#This Row],[Referencia]],[1]Hoja1!$A$1:$B$301,2,FALSE)</f>
        <v>1500</v>
      </c>
      <c r="J21" s="16">
        <f>Tabla1[[#This Row],[Precio unitario]]*Tabla1[[#This Row],[Total disponibles]]</f>
        <v>0</v>
      </c>
    </row>
    <row r="22" spans="1:10" x14ac:dyDescent="0.25">
      <c r="A22" s="8" t="s">
        <v>30</v>
      </c>
      <c r="B22" s="1">
        <v>79.900000000000006</v>
      </c>
      <c r="C22" s="1">
        <f>Tabla1[[#This Row],[Peso unitario (gr)]]*100</f>
        <v>7990.0000000000009</v>
      </c>
      <c r="D22" s="1">
        <v>36</v>
      </c>
      <c r="E22" s="1">
        <v>0</v>
      </c>
      <c r="F22" s="1">
        <f>Tabla1[[#This Row],[Peso unitario (gr)]]*Tabla1[[#This Row],[Entregadas]]</f>
        <v>0</v>
      </c>
      <c r="G22" s="1">
        <f>Tabla1[[#This Row],[Cantidad total (un)]]-Tabla1[[#This Row],[Entregadas]]</f>
        <v>36</v>
      </c>
      <c r="H22" s="11">
        <f>(Tabla1[[#This Row],[Total disponibles]]*Tabla1[[#This Row],[Peso unitario (gr)]])/1000</f>
        <v>2.8764000000000003</v>
      </c>
      <c r="I22" s="14">
        <f>VLOOKUP(Tabla1[[#This Row],[Referencia]],[1]Hoja1!$A$1:$B$301,2,FALSE)</f>
        <v>1300</v>
      </c>
      <c r="J22" s="16">
        <f>Tabla1[[#This Row],[Precio unitario]]*Tabla1[[#This Row],[Total disponibles]]</f>
        <v>46800</v>
      </c>
    </row>
    <row r="23" spans="1:10" x14ac:dyDescent="0.25">
      <c r="A23" s="8" t="s">
        <v>31</v>
      </c>
      <c r="B23" s="1">
        <v>386</v>
      </c>
      <c r="C23" s="1">
        <f>Tabla1[[#This Row],[Peso unitario (gr)]]*100</f>
        <v>38600</v>
      </c>
      <c r="D23" s="1">
        <f>53+280+200</f>
        <v>533</v>
      </c>
      <c r="E23" s="1">
        <f>333+2</f>
        <v>335</v>
      </c>
      <c r="F23" s="1">
        <f>Tabla1[[#This Row],[Peso unitario (gr)]]*Tabla1[[#This Row],[Entregadas]]</f>
        <v>129310</v>
      </c>
      <c r="G23" s="1">
        <f>Tabla1[[#This Row],[Cantidad total (un)]]-Tabla1[[#This Row],[Entregadas]]</f>
        <v>198</v>
      </c>
      <c r="H23" s="11">
        <f>(Tabla1[[#This Row],[Total disponibles]]*Tabla1[[#This Row],[Peso unitario (gr)]])/1000</f>
        <v>76.427999999999997</v>
      </c>
      <c r="I23" s="14">
        <f>VLOOKUP(Tabla1[[#This Row],[Referencia]],[1]Hoja1!$A$1:$B$301,2,FALSE)</f>
        <v>45000</v>
      </c>
      <c r="J23" s="16">
        <f>Tabla1[[#This Row],[Precio unitario]]*Tabla1[[#This Row],[Total disponibles]]</f>
        <v>8910000</v>
      </c>
    </row>
    <row r="24" spans="1:10" x14ac:dyDescent="0.25">
      <c r="A24" s="8" t="s">
        <v>32</v>
      </c>
      <c r="B24" s="1">
        <v>607</v>
      </c>
      <c r="C24" s="1">
        <f>Tabla1[[#This Row],[Peso unitario (gr)]]*100</f>
        <v>60700</v>
      </c>
      <c r="D24" s="1">
        <f>40+50</f>
        <v>90</v>
      </c>
      <c r="E24" s="1">
        <v>6</v>
      </c>
      <c r="F24" s="1">
        <f>Tabla1[[#This Row],[Peso unitario (gr)]]*Tabla1[[#This Row],[Entregadas]]</f>
        <v>3642</v>
      </c>
      <c r="G24" s="1">
        <f>Tabla1[[#This Row],[Cantidad total (un)]]-Tabla1[[#This Row],[Entregadas]]</f>
        <v>84</v>
      </c>
      <c r="H24" s="11">
        <f>(Tabla1[[#This Row],[Total disponibles]]*Tabla1[[#This Row],[Peso unitario (gr)]])/1000</f>
        <v>50.988</v>
      </c>
      <c r="I24" s="14">
        <f>VLOOKUP(Tabla1[[#This Row],[Referencia]],[1]Hoja1!$A$1:$B$301,2,FALSE)</f>
        <v>50000</v>
      </c>
      <c r="J24" s="16">
        <f>Tabla1[[#This Row],[Precio unitario]]*Tabla1[[#This Row],[Total disponibles]]</f>
        <v>4200000</v>
      </c>
    </row>
    <row r="25" spans="1:10" x14ac:dyDescent="0.25">
      <c r="A25" s="8" t="s">
        <v>33</v>
      </c>
      <c r="B25" s="1">
        <v>525</v>
      </c>
      <c r="C25" s="1">
        <f>Tabla1[[#This Row],[Peso unitario (gr)]]*100</f>
        <v>52500</v>
      </c>
      <c r="D25" s="1">
        <f>37+37+38+37+37+37+6</f>
        <v>229</v>
      </c>
      <c r="E25" s="1">
        <v>140</v>
      </c>
      <c r="F25" s="1">
        <f>Tabla1[[#This Row],[Peso unitario (gr)]]*Tabla1[[#This Row],[Entregadas]]</f>
        <v>73500</v>
      </c>
      <c r="G25" s="1">
        <f>Tabla1[[#This Row],[Cantidad total (un)]]-Tabla1[[#This Row],[Entregadas]]</f>
        <v>89</v>
      </c>
      <c r="H25" s="11">
        <f>(Tabla1[[#This Row],[Total disponibles]]*Tabla1[[#This Row],[Peso unitario (gr)]])/1000</f>
        <v>46.725000000000001</v>
      </c>
      <c r="I25" s="14">
        <f>VLOOKUP(Tabla1[[#This Row],[Referencia]],[1]Hoja1!$A$1:$B$301,2,FALSE)</f>
        <v>64000</v>
      </c>
      <c r="J25" s="16">
        <f>Tabla1[[#This Row],[Precio unitario]]*Tabla1[[#This Row],[Total disponibles]]</f>
        <v>5696000</v>
      </c>
    </row>
    <row r="26" spans="1:10" x14ac:dyDescent="0.25">
      <c r="A26" s="8" t="s">
        <v>34</v>
      </c>
      <c r="B26" s="1">
        <v>0</v>
      </c>
      <c r="C26" s="1">
        <f>Tabla1[[#This Row],[Peso unitario (gr)]]*100</f>
        <v>0</v>
      </c>
      <c r="D26" s="1">
        <v>0</v>
      </c>
      <c r="E26" s="1">
        <v>0</v>
      </c>
      <c r="F26" s="1">
        <f>Tabla1[[#This Row],[Peso unitario (gr)]]*Tabla1[[#This Row],[Entregadas]]</f>
        <v>0</v>
      </c>
      <c r="G26" s="1">
        <f>Tabla1[[#This Row],[Cantidad total (un)]]-Tabla1[[#This Row],[Entregadas]]</f>
        <v>0</v>
      </c>
      <c r="H26" s="11">
        <f>(Tabla1[[#This Row],[Total disponibles]]*Tabla1[[#This Row],[Peso unitario (gr)]])/1000</f>
        <v>0</v>
      </c>
      <c r="I26" s="14">
        <f>VLOOKUP(Tabla1[[#This Row],[Referencia]],[1]Hoja1!$A$1:$B$301,2,FALSE)</f>
        <v>320000</v>
      </c>
      <c r="J26" s="16">
        <f>Tabla1[[#This Row],[Precio unitario]]*Tabla1[[#This Row],[Total disponibles]]</f>
        <v>0</v>
      </c>
    </row>
    <row r="27" spans="1:10" x14ac:dyDescent="0.25">
      <c r="A27" s="8" t="s">
        <v>35</v>
      </c>
      <c r="B27" s="1">
        <v>490</v>
      </c>
      <c r="C27" s="1">
        <f>Tabla1[[#This Row],[Peso unitario (gr)]]*100</f>
        <v>49000</v>
      </c>
      <c r="D27" s="1">
        <f>36+34+40+3+28+34+32</f>
        <v>207</v>
      </c>
      <c r="E27" s="1">
        <f>100+2</f>
        <v>102</v>
      </c>
      <c r="F27" s="1">
        <f>Tabla1[[#This Row],[Peso unitario (gr)]]*Tabla1[[#This Row],[Entregadas]]</f>
        <v>49980</v>
      </c>
      <c r="G27" s="1">
        <f>Tabla1[[#This Row],[Cantidad total (un)]]-Tabla1[[#This Row],[Entregadas]]</f>
        <v>105</v>
      </c>
      <c r="H27" s="11">
        <f>(Tabla1[[#This Row],[Total disponibles]]*Tabla1[[#This Row],[Peso unitario (gr)]])/1000</f>
        <v>51.45</v>
      </c>
      <c r="I27" s="14">
        <f>VLOOKUP(Tabla1[[#This Row],[Referencia]],[1]Hoja1!$A$1:$B$301,2,FALSE)</f>
        <v>48000</v>
      </c>
      <c r="J27" s="16">
        <f>Tabla1[[#This Row],[Precio unitario]]*Tabla1[[#This Row],[Total disponibles]]</f>
        <v>5040000</v>
      </c>
    </row>
    <row r="28" spans="1:10" x14ac:dyDescent="0.25">
      <c r="A28" s="8" t="s">
        <v>36</v>
      </c>
      <c r="B28" s="1">
        <v>0</v>
      </c>
      <c r="C28" s="1">
        <f>Tabla1[[#This Row],[Peso unitario (gr)]]*100</f>
        <v>0</v>
      </c>
      <c r="D28" s="1">
        <v>32</v>
      </c>
      <c r="E28" s="1">
        <v>0</v>
      </c>
      <c r="F28" s="1">
        <f>Tabla1[[#This Row],[Peso unitario (gr)]]*Tabla1[[#This Row],[Entregadas]]</f>
        <v>0</v>
      </c>
      <c r="G28" s="1">
        <f>Tabla1[[#This Row],[Cantidad total (un)]]-Tabla1[[#This Row],[Entregadas]]</f>
        <v>32</v>
      </c>
      <c r="H28" s="11">
        <f>(Tabla1[[#This Row],[Total disponibles]]*Tabla1[[#This Row],[Peso unitario (gr)]])/1000</f>
        <v>0</v>
      </c>
      <c r="I28" s="14">
        <f>VLOOKUP(Tabla1[[#This Row],[Referencia]],[1]Hoja1!$A$1:$B$301,2,FALSE)</f>
        <v>60000</v>
      </c>
      <c r="J28" s="16">
        <f>Tabla1[[#This Row],[Precio unitario]]*Tabla1[[#This Row],[Total disponibles]]</f>
        <v>1920000</v>
      </c>
    </row>
    <row r="29" spans="1:10" x14ac:dyDescent="0.25">
      <c r="A29" s="8" t="s">
        <v>37</v>
      </c>
      <c r="B29" s="1">
        <v>612</v>
      </c>
      <c r="C29" s="1">
        <v>0</v>
      </c>
      <c r="D29" s="1">
        <v>2</v>
      </c>
      <c r="E29" s="1">
        <v>2</v>
      </c>
      <c r="F29" s="1">
        <f>Tabla1[[#This Row],[Peso unitario (gr)]]*Tabla1[[#This Row],[Entregadas]]</f>
        <v>1224</v>
      </c>
      <c r="G29" s="1">
        <f>Tabla1[[#This Row],[Cantidad total (un)]]-Tabla1[[#This Row],[Entregadas]]</f>
        <v>0</v>
      </c>
      <c r="H29" s="11">
        <f>(Tabla1[[#This Row],[Total disponibles]]*Tabla1[[#This Row],[Peso unitario (gr)]])/1000</f>
        <v>0</v>
      </c>
      <c r="I29" s="14">
        <f>VLOOKUP(Tabla1[[#This Row],[Referencia]],[1]Hoja1!$A$1:$B$301,2,FALSE)</f>
        <v>32000</v>
      </c>
      <c r="J29" s="16">
        <f>Tabla1[[#This Row],[Precio unitario]]*Tabla1[[#This Row],[Total disponibles]]</f>
        <v>0</v>
      </c>
    </row>
    <row r="30" spans="1:10" x14ac:dyDescent="0.25">
      <c r="A30" s="8" t="s">
        <v>38</v>
      </c>
      <c r="B30" s="1">
        <v>0</v>
      </c>
      <c r="C30" s="1">
        <f>Tabla1[[#This Row],[Peso unitario (gr)]]*100</f>
        <v>0</v>
      </c>
      <c r="D30" s="1">
        <v>0</v>
      </c>
      <c r="E30" s="1">
        <v>0</v>
      </c>
      <c r="F30" s="1">
        <f>Tabla1[[#This Row],[Peso unitario (gr)]]*Tabla1[[#This Row],[Entregadas]]</f>
        <v>0</v>
      </c>
      <c r="G30" s="1">
        <f>Tabla1[[#This Row],[Cantidad total (un)]]-Tabla1[[#This Row],[Entregadas]]</f>
        <v>0</v>
      </c>
      <c r="H30" s="11">
        <f>(Tabla1[[#This Row],[Total disponibles]]*Tabla1[[#This Row],[Peso unitario (gr)]])/1000</f>
        <v>0</v>
      </c>
      <c r="I30" s="14">
        <f>VLOOKUP(Tabla1[[#This Row],[Referencia]],[1]Hoja1!$A$1:$B$301,2,FALSE)</f>
        <v>22000</v>
      </c>
      <c r="J30" s="16">
        <f>Tabla1[[#This Row],[Precio unitario]]*Tabla1[[#This Row],[Total disponibles]]</f>
        <v>0</v>
      </c>
    </row>
    <row r="31" spans="1:10" x14ac:dyDescent="0.25">
      <c r="A31" s="8" t="s">
        <v>39</v>
      </c>
      <c r="B31" s="1">
        <v>0</v>
      </c>
      <c r="C31" s="1">
        <f>Tabla1[[#This Row],[Peso unitario (gr)]]*100</f>
        <v>0</v>
      </c>
      <c r="D31" s="1">
        <v>0</v>
      </c>
      <c r="E31" s="1">
        <v>0</v>
      </c>
      <c r="F31" s="1">
        <f>Tabla1[[#This Row],[Peso unitario (gr)]]*Tabla1[[#This Row],[Entregadas]]</f>
        <v>0</v>
      </c>
      <c r="G31" s="1">
        <f>Tabla1[[#This Row],[Cantidad total (un)]]-Tabla1[[#This Row],[Entregadas]]</f>
        <v>0</v>
      </c>
      <c r="H31" s="11">
        <f>(Tabla1[[#This Row],[Total disponibles]]*Tabla1[[#This Row],[Peso unitario (gr)]])/1000</f>
        <v>0</v>
      </c>
      <c r="I31" s="14">
        <f>VLOOKUP(Tabla1[[#This Row],[Referencia]],[1]Hoja1!$A$1:$B$301,2,FALSE)</f>
        <v>11000</v>
      </c>
      <c r="J31" s="16">
        <f>Tabla1[[#This Row],[Precio unitario]]*Tabla1[[#This Row],[Total disponibles]]</f>
        <v>0</v>
      </c>
    </row>
    <row r="32" spans="1:10" x14ac:dyDescent="0.25">
      <c r="A32" s="8" t="s">
        <v>40</v>
      </c>
      <c r="B32" s="1">
        <v>0</v>
      </c>
      <c r="C32" s="1">
        <f>Tabla1[[#This Row],[Peso unitario (gr)]]*100</f>
        <v>0</v>
      </c>
      <c r="D32" s="1">
        <v>0</v>
      </c>
      <c r="E32" s="1">
        <v>0</v>
      </c>
      <c r="F32" s="1">
        <f>Tabla1[[#This Row],[Peso unitario (gr)]]*Tabla1[[#This Row],[Entregadas]]</f>
        <v>0</v>
      </c>
      <c r="G32" s="1">
        <f>Tabla1[[#This Row],[Cantidad total (un)]]-Tabla1[[#This Row],[Entregadas]]</f>
        <v>0</v>
      </c>
      <c r="H32" s="11">
        <f>(Tabla1[[#This Row],[Total disponibles]]*Tabla1[[#This Row],[Peso unitario (gr)]])/1000</f>
        <v>0</v>
      </c>
      <c r="I32" s="14">
        <f>VLOOKUP(Tabla1[[#This Row],[Referencia]],[1]Hoja1!$A$1:$B$301,2,FALSE)</f>
        <v>12000</v>
      </c>
      <c r="J32" s="16">
        <f>Tabla1[[#This Row],[Precio unitario]]*Tabla1[[#This Row],[Total disponibles]]</f>
        <v>0</v>
      </c>
    </row>
    <row r="33" spans="1:10" x14ac:dyDescent="0.25">
      <c r="A33" s="8" t="s">
        <v>41</v>
      </c>
      <c r="B33" s="1">
        <v>0</v>
      </c>
      <c r="C33" s="1">
        <v>0</v>
      </c>
      <c r="D33" s="1">
        <v>0</v>
      </c>
      <c r="E33" s="1">
        <v>0</v>
      </c>
      <c r="F33" s="1">
        <f>Tabla1[[#This Row],[Peso unitario (gr)]]*Tabla1[[#This Row],[Entregadas]]</f>
        <v>0</v>
      </c>
      <c r="G33" s="1">
        <f>Tabla1[[#This Row],[Cantidad total (un)]]-Tabla1[[#This Row],[Entregadas]]</f>
        <v>0</v>
      </c>
      <c r="H33" s="11">
        <f>(Tabla1[[#This Row],[Total disponibles]]*Tabla1[[#This Row],[Peso unitario (gr)]])/1000</f>
        <v>0</v>
      </c>
      <c r="I33" s="14">
        <f>VLOOKUP(Tabla1[[#This Row],[Referencia]],[1]Hoja1!$A$1:$B$301,2,FALSE)</f>
        <v>20000</v>
      </c>
      <c r="J33" s="16">
        <f>Tabla1[[#This Row],[Precio unitario]]*Tabla1[[#This Row],[Total disponibles]]</f>
        <v>0</v>
      </c>
    </row>
    <row r="34" spans="1:10" x14ac:dyDescent="0.25">
      <c r="A34" s="8" t="s">
        <v>42</v>
      </c>
      <c r="B34" s="1">
        <v>0</v>
      </c>
      <c r="C34" s="1">
        <v>0</v>
      </c>
      <c r="D34" s="1">
        <v>0</v>
      </c>
      <c r="E34" s="1">
        <v>0</v>
      </c>
      <c r="F34" s="1">
        <f>Tabla1[[#This Row],[Peso unitario (gr)]]*Tabla1[[#This Row],[Entregadas]]</f>
        <v>0</v>
      </c>
      <c r="G34" s="1">
        <f>Tabla1[[#This Row],[Cantidad total (un)]]-Tabla1[[#This Row],[Entregadas]]</f>
        <v>0</v>
      </c>
      <c r="H34" s="11">
        <f>(Tabla1[[#This Row],[Total disponibles]]*Tabla1[[#This Row],[Peso unitario (gr)]])/1000</f>
        <v>0</v>
      </c>
      <c r="I34" s="14">
        <f>VLOOKUP(Tabla1[[#This Row],[Referencia]],[1]Hoja1!$A$1:$B$301,2,FALSE)</f>
        <v>35000</v>
      </c>
      <c r="J34" s="16">
        <f>Tabla1[[#This Row],[Precio unitario]]*Tabla1[[#This Row],[Total disponibles]]</f>
        <v>0</v>
      </c>
    </row>
    <row r="35" spans="1:10" x14ac:dyDescent="0.25">
      <c r="A35" s="8" t="s">
        <v>43</v>
      </c>
      <c r="B35" s="1">
        <v>0</v>
      </c>
      <c r="C35" s="1">
        <v>0</v>
      </c>
      <c r="D35" s="1">
        <v>0</v>
      </c>
      <c r="E35" s="1">
        <v>0</v>
      </c>
      <c r="F35" s="1">
        <f>Tabla1[[#This Row],[Peso unitario (gr)]]*Tabla1[[#This Row],[Entregadas]]</f>
        <v>0</v>
      </c>
      <c r="G35" s="1">
        <f>Tabla1[[#This Row],[Cantidad total (un)]]-Tabla1[[#This Row],[Entregadas]]</f>
        <v>0</v>
      </c>
      <c r="H35" s="11">
        <f>(Tabla1[[#This Row],[Total disponibles]]*Tabla1[[#This Row],[Peso unitario (gr)]])/1000</f>
        <v>0</v>
      </c>
      <c r="I35" s="14">
        <f>VLOOKUP(Tabla1[[#This Row],[Referencia]],[1]Hoja1!$A$1:$B$301,2,FALSE)</f>
        <v>37000</v>
      </c>
      <c r="J35" s="16">
        <f>Tabla1[[#This Row],[Precio unitario]]*Tabla1[[#This Row],[Total disponibles]]</f>
        <v>0</v>
      </c>
    </row>
    <row r="36" spans="1:10" x14ac:dyDescent="0.25">
      <c r="A36" s="8" t="s">
        <v>44</v>
      </c>
      <c r="B36" s="1">
        <v>0</v>
      </c>
      <c r="C36" s="1">
        <v>0</v>
      </c>
      <c r="D36" s="1">
        <v>0</v>
      </c>
      <c r="E36" s="1">
        <v>0</v>
      </c>
      <c r="F36" s="1">
        <f>Tabla1[[#This Row],[Peso unitario (gr)]]*Tabla1[[#This Row],[Entregadas]]</f>
        <v>0</v>
      </c>
      <c r="G36" s="1">
        <f>Tabla1[[#This Row],[Cantidad total (un)]]-Tabla1[[#This Row],[Entregadas]]</f>
        <v>0</v>
      </c>
      <c r="H36" s="11">
        <f>(Tabla1[[#This Row],[Total disponibles]]*Tabla1[[#This Row],[Peso unitario (gr)]])/1000</f>
        <v>0</v>
      </c>
      <c r="I36" s="14">
        <f>VLOOKUP(Tabla1[[#This Row],[Referencia]],[1]Hoja1!$A$1:$B$301,2,FALSE)</f>
        <v>80000</v>
      </c>
      <c r="J36" s="16">
        <f>Tabla1[[#This Row],[Precio unitario]]*Tabla1[[#This Row],[Total disponibles]]</f>
        <v>0</v>
      </c>
    </row>
    <row r="37" spans="1:10" x14ac:dyDescent="0.25">
      <c r="A37" s="8" t="s">
        <v>45</v>
      </c>
      <c r="B37" s="1">
        <v>0</v>
      </c>
      <c r="C37" s="1">
        <f>Tabla1[[#This Row],[Peso unitario (gr)]]*100</f>
        <v>0</v>
      </c>
      <c r="D37" s="1">
        <v>0</v>
      </c>
      <c r="E37" s="1">
        <v>0</v>
      </c>
      <c r="F37" s="1">
        <f>Tabla1[[#This Row],[Peso unitario (gr)]]*Tabla1[[#This Row],[Entregadas]]</f>
        <v>0</v>
      </c>
      <c r="G37" s="1">
        <f>Tabla1[[#This Row],[Cantidad total (un)]]-Tabla1[[#This Row],[Entregadas]]</f>
        <v>0</v>
      </c>
      <c r="H37" s="11">
        <f>(Tabla1[[#This Row],[Total disponibles]]*Tabla1[[#This Row],[Peso unitario (gr)]])/1000</f>
        <v>0</v>
      </c>
      <c r="I37" s="14">
        <f>VLOOKUP(Tabla1[[#This Row],[Referencia]],[1]Hoja1!$A$1:$B$301,2,FALSE)</f>
        <v>16400</v>
      </c>
      <c r="J37" s="16">
        <f>Tabla1[[#This Row],[Precio unitario]]*Tabla1[[#This Row],[Total disponibles]]</f>
        <v>0</v>
      </c>
    </row>
    <row r="38" spans="1:10" x14ac:dyDescent="0.25">
      <c r="A38" s="8" t="s">
        <v>46</v>
      </c>
      <c r="B38" s="1">
        <v>0</v>
      </c>
      <c r="C38" s="1">
        <f>Tabla1[[#This Row],[Peso unitario (gr)]]*100</f>
        <v>0</v>
      </c>
      <c r="D38" s="1">
        <v>0</v>
      </c>
      <c r="E38" s="1">
        <v>0</v>
      </c>
      <c r="F38" s="1">
        <f>Tabla1[[#This Row],[Peso unitario (gr)]]*Tabla1[[#This Row],[Entregadas]]</f>
        <v>0</v>
      </c>
      <c r="G38" s="1">
        <f>Tabla1[[#This Row],[Cantidad total (un)]]-Tabla1[[#This Row],[Entregadas]]</f>
        <v>0</v>
      </c>
      <c r="H38" s="11">
        <f>(Tabla1[[#This Row],[Total disponibles]]*Tabla1[[#This Row],[Peso unitario (gr)]])/1000</f>
        <v>0</v>
      </c>
      <c r="I38" s="14">
        <f>VLOOKUP(Tabla1[[#This Row],[Referencia]],[1]Hoja1!$A$1:$B$301,2,FALSE)</f>
        <v>21400</v>
      </c>
      <c r="J38" s="16">
        <f>Tabla1[[#This Row],[Precio unitario]]*Tabla1[[#This Row],[Total disponibles]]</f>
        <v>0</v>
      </c>
    </row>
    <row r="39" spans="1:10" x14ac:dyDescent="0.25">
      <c r="A39" s="8" t="s">
        <v>47</v>
      </c>
      <c r="B39" s="1">
        <v>0</v>
      </c>
      <c r="C39" s="1">
        <f>Tabla1[[#This Row],[Peso unitario (gr)]]*100</f>
        <v>0</v>
      </c>
      <c r="D39" s="1">
        <v>0</v>
      </c>
      <c r="E39" s="1">
        <v>0</v>
      </c>
      <c r="F39" s="1">
        <f>Tabla1[[#This Row],[Peso unitario (gr)]]*Tabla1[[#This Row],[Entregadas]]</f>
        <v>0</v>
      </c>
      <c r="G39" s="1">
        <f>Tabla1[[#This Row],[Cantidad total (un)]]-Tabla1[[#This Row],[Entregadas]]</f>
        <v>0</v>
      </c>
      <c r="H39" s="11">
        <f>(Tabla1[[#This Row],[Total disponibles]]*Tabla1[[#This Row],[Peso unitario (gr)]])/1000</f>
        <v>0</v>
      </c>
      <c r="I39" s="14">
        <f>VLOOKUP(Tabla1[[#This Row],[Referencia]],[1]Hoja1!$A$1:$B$301,2,FALSE)</f>
        <v>877200</v>
      </c>
      <c r="J39" s="16">
        <f>Tabla1[[#This Row],[Precio unitario]]*Tabla1[[#This Row],[Total disponibles]]</f>
        <v>0</v>
      </c>
    </row>
    <row r="40" spans="1:10" x14ac:dyDescent="0.25">
      <c r="A40" s="8" t="s">
        <v>48</v>
      </c>
      <c r="B40" s="1">
        <v>0</v>
      </c>
      <c r="C40" s="1">
        <f>Tabla1[[#This Row],[Peso unitario (gr)]]*100</f>
        <v>0</v>
      </c>
      <c r="D40" s="1">
        <v>0</v>
      </c>
      <c r="E40" s="1">
        <v>0</v>
      </c>
      <c r="F40" s="1">
        <f>Tabla1[[#This Row],[Peso unitario (gr)]]*Tabla1[[#This Row],[Entregadas]]</f>
        <v>0</v>
      </c>
      <c r="G40" s="1">
        <f>Tabla1[[#This Row],[Cantidad total (un)]]-Tabla1[[#This Row],[Entregadas]]</f>
        <v>0</v>
      </c>
      <c r="H40" s="11">
        <f>(Tabla1[[#This Row],[Total disponibles]]*Tabla1[[#This Row],[Peso unitario (gr)]])/1000</f>
        <v>0</v>
      </c>
      <c r="I40" s="14">
        <f>VLOOKUP(Tabla1[[#This Row],[Referencia]],[1]Hoja1!$A$1:$B$301,2,FALSE)</f>
        <v>19000</v>
      </c>
      <c r="J40" s="16">
        <f>Tabla1[[#This Row],[Precio unitario]]*Tabla1[[#This Row],[Total disponibles]]</f>
        <v>0</v>
      </c>
    </row>
    <row r="41" spans="1:10" x14ac:dyDescent="0.25">
      <c r="A41" s="8" t="s">
        <v>49</v>
      </c>
      <c r="B41" s="1">
        <v>16.8</v>
      </c>
      <c r="C41" s="1">
        <f>Tabla1[[#This Row],[Peso unitario (gr)]]*100</f>
        <v>1680</v>
      </c>
      <c r="D41" s="1">
        <v>69</v>
      </c>
      <c r="E41" s="1">
        <v>0</v>
      </c>
      <c r="F41" s="1">
        <f>Tabla1[[#This Row],[Peso unitario (gr)]]*Tabla1[[#This Row],[Entregadas]]</f>
        <v>0</v>
      </c>
      <c r="G41" s="1">
        <f>Tabla1[[#This Row],[Cantidad total (un)]]-Tabla1[[#This Row],[Entregadas]]</f>
        <v>69</v>
      </c>
      <c r="H41" s="11">
        <f>(Tabla1[[#This Row],[Total disponibles]]*Tabla1[[#This Row],[Peso unitario (gr)]])/1000</f>
        <v>1.1592</v>
      </c>
      <c r="I41" s="14">
        <f>VLOOKUP(Tabla1[[#This Row],[Referencia]],[1]Hoja1!$A$1:$B$301,2,FALSE)</f>
        <v>30000</v>
      </c>
      <c r="J41" s="16">
        <f>Tabla1[[#This Row],[Precio unitario]]*Tabla1[[#This Row],[Total disponibles]]</f>
        <v>2070000</v>
      </c>
    </row>
    <row r="42" spans="1:10" x14ac:dyDescent="0.25">
      <c r="A42" s="8" t="s">
        <v>50</v>
      </c>
      <c r="B42" s="1">
        <v>4</v>
      </c>
      <c r="C42" s="1">
        <f>Tabla1[[#This Row],[Peso unitario (gr)]]*100</f>
        <v>400</v>
      </c>
      <c r="D42" s="1">
        <f>718+336+276+400</f>
        <v>1730</v>
      </c>
      <c r="E42" s="1">
        <f>610+200+320</f>
        <v>1130</v>
      </c>
      <c r="F42" s="1">
        <f>Tabla1[[#This Row],[Peso unitario (gr)]]*Tabla1[[#This Row],[Entregadas]]</f>
        <v>4520</v>
      </c>
      <c r="G42" s="1">
        <f>Tabla1[[#This Row],[Cantidad total (un)]]-Tabla1[[#This Row],[Entregadas]]</f>
        <v>600</v>
      </c>
      <c r="H42" s="11">
        <f>(Tabla1[[#This Row],[Total disponibles]]*Tabla1[[#This Row],[Peso unitario (gr)]])/1000</f>
        <v>2.4</v>
      </c>
      <c r="I42" s="14">
        <f>VLOOKUP(Tabla1[[#This Row],[Referencia]],[1]Hoja1!$A$1:$B$301,2,FALSE)</f>
        <v>150</v>
      </c>
      <c r="J42" s="16">
        <f>Tabla1[[#This Row],[Precio unitario]]*Tabla1[[#This Row],[Total disponibles]]</f>
        <v>90000</v>
      </c>
    </row>
    <row r="43" spans="1:10" x14ac:dyDescent="0.25">
      <c r="A43" s="8" t="s">
        <v>51</v>
      </c>
      <c r="B43" s="1">
        <v>1.6</v>
      </c>
      <c r="C43" s="1">
        <f>Tabla1[[#This Row],[Peso unitario (gr)]]*100</f>
        <v>160</v>
      </c>
      <c r="D43" s="1">
        <f>101+482+100+200+500+500</f>
        <v>1883</v>
      </c>
      <c r="E43" s="1">
        <f>201+382+200+200+400+500</f>
        <v>1883</v>
      </c>
      <c r="F43" s="1">
        <f>Tabla1[[#This Row],[Peso unitario (gr)]]*Tabla1[[#This Row],[Entregadas]]</f>
        <v>3012.8</v>
      </c>
      <c r="G43" s="1">
        <f>Tabla1[[#This Row],[Cantidad total (un)]]-Tabla1[[#This Row],[Entregadas]]</f>
        <v>0</v>
      </c>
      <c r="H43" s="11">
        <f>(Tabla1[[#This Row],[Total disponibles]]*Tabla1[[#This Row],[Peso unitario (gr)]])/1000</f>
        <v>0</v>
      </c>
      <c r="I43" s="14">
        <f>VLOOKUP(Tabla1[[#This Row],[Referencia]],[1]Hoja1!$A$1:$B$301,2,FALSE)</f>
        <v>50</v>
      </c>
      <c r="J43" s="16">
        <f>Tabla1[[#This Row],[Precio unitario]]*Tabla1[[#This Row],[Total disponibles]]</f>
        <v>0</v>
      </c>
    </row>
    <row r="44" spans="1:10" x14ac:dyDescent="0.25">
      <c r="A44" s="8" t="s">
        <v>52</v>
      </c>
      <c r="B44" s="1">
        <v>1.7</v>
      </c>
      <c r="C44" s="1">
        <f>Tabla1[[#This Row],[Peso unitario (gr)]]*100</f>
        <v>170</v>
      </c>
      <c r="D44" s="1">
        <f>1836+116+140+19</f>
        <v>2111</v>
      </c>
      <c r="E44" s="1">
        <v>0</v>
      </c>
      <c r="F44" s="1">
        <f>Tabla1[[#This Row],[Peso unitario (gr)]]*Tabla1[[#This Row],[Entregadas]]</f>
        <v>0</v>
      </c>
      <c r="G44" s="1">
        <f>Tabla1[[#This Row],[Cantidad total (un)]]-Tabla1[[#This Row],[Entregadas]]</f>
        <v>2111</v>
      </c>
      <c r="H44" s="11">
        <f>(Tabla1[[#This Row],[Total disponibles]]*Tabla1[[#This Row],[Peso unitario (gr)]])/1000</f>
        <v>3.5886999999999998</v>
      </c>
      <c r="I44" s="14">
        <f>VLOOKUP(Tabla1[[#This Row],[Referencia]],[1]Hoja1!$A$1:$B$301,2,FALSE)</f>
        <v>150</v>
      </c>
      <c r="J44" s="16">
        <f>Tabla1[[#This Row],[Precio unitario]]*Tabla1[[#This Row],[Total disponibles]]</f>
        <v>316650</v>
      </c>
    </row>
    <row r="45" spans="1:10" x14ac:dyDescent="0.25">
      <c r="A45" s="8" t="s">
        <v>53</v>
      </c>
      <c r="B45" s="1">
        <v>0.83</v>
      </c>
      <c r="C45" s="1">
        <f>Tabla1[[#This Row],[Peso unitario (gr)]]*100</f>
        <v>83</v>
      </c>
      <c r="D45" s="1">
        <f>3244+3003+1220</f>
        <v>7467</v>
      </c>
      <c r="E45" s="1">
        <f>500+30+46+1220</f>
        <v>1796</v>
      </c>
      <c r="F45" s="1">
        <f>Tabla1[[#This Row],[Peso unitario (gr)]]*Tabla1[[#This Row],[Entregadas]]</f>
        <v>1490.6799999999998</v>
      </c>
      <c r="G45" s="1">
        <f>Tabla1[[#This Row],[Cantidad total (un)]]-Tabla1[[#This Row],[Entregadas]]</f>
        <v>5671</v>
      </c>
      <c r="H45" s="11">
        <f>(Tabla1[[#This Row],[Total disponibles]]*Tabla1[[#This Row],[Peso unitario (gr)]])/1000</f>
        <v>4.7069299999999989</v>
      </c>
      <c r="I45" s="14">
        <f>VLOOKUP(Tabla1[[#This Row],[Referencia]],[1]Hoja1!$A$1:$B$301,2,FALSE)</f>
        <v>50</v>
      </c>
      <c r="J45" s="16">
        <f>Tabla1[[#This Row],[Precio unitario]]*Tabla1[[#This Row],[Total disponibles]]</f>
        <v>283550</v>
      </c>
    </row>
    <row r="46" spans="1:10" x14ac:dyDescent="0.25">
      <c r="A46" s="8" t="s">
        <v>54</v>
      </c>
      <c r="B46" s="1">
        <v>0.2</v>
      </c>
      <c r="C46" s="1">
        <f>Tabla1[[#This Row],[Peso unitario (gr)]]*100</f>
        <v>20</v>
      </c>
      <c r="D46" s="1">
        <v>200</v>
      </c>
      <c r="E46" s="1">
        <v>0</v>
      </c>
      <c r="F46" s="1">
        <f>Tabla1[[#This Row],[Peso unitario (gr)]]*Tabla1[[#This Row],[Entregadas]]</f>
        <v>0</v>
      </c>
      <c r="G46" s="1">
        <f>Tabla1[[#This Row],[Cantidad total (un)]]-Tabla1[[#This Row],[Entregadas]]</f>
        <v>200</v>
      </c>
      <c r="H46" s="11">
        <f>(Tabla1[[#This Row],[Total disponibles]]*Tabla1[[#This Row],[Peso unitario (gr)]])/1000</f>
        <v>0.04</v>
      </c>
      <c r="I46" s="14">
        <f>VLOOKUP(Tabla1[[#This Row],[Referencia]],[1]Hoja1!$A$1:$B$301,2,FALSE)</f>
        <v>50</v>
      </c>
      <c r="J46" s="16">
        <f>Tabla1[[#This Row],[Precio unitario]]*Tabla1[[#This Row],[Total disponibles]]</f>
        <v>10000</v>
      </c>
    </row>
    <row r="47" spans="1:10" x14ac:dyDescent="0.25">
      <c r="A47" s="8" t="s">
        <v>55</v>
      </c>
      <c r="B47" s="1">
        <v>1.43</v>
      </c>
      <c r="C47" s="1">
        <f>Tabla1[[#This Row],[Peso unitario (gr)]]*100</f>
        <v>143</v>
      </c>
      <c r="D47" s="1">
        <f>3744+121+56+196+195+800</f>
        <v>5112</v>
      </c>
      <c r="E47" s="1">
        <f>101+200+100+100+4+500+8+500+300</f>
        <v>1813</v>
      </c>
      <c r="F47" s="1">
        <f>Tabla1[[#This Row],[Peso unitario (gr)]]*Tabla1[[#This Row],[Entregadas]]</f>
        <v>2592.5899999999997</v>
      </c>
      <c r="G47" s="1">
        <f>Tabla1[[#This Row],[Cantidad total (un)]]-Tabla1[[#This Row],[Entregadas]]</f>
        <v>3299</v>
      </c>
      <c r="H47" s="11">
        <f>(Tabla1[[#This Row],[Total disponibles]]*Tabla1[[#This Row],[Peso unitario (gr)]])/1000</f>
        <v>4.7175699999999994</v>
      </c>
      <c r="I47" s="14">
        <f>VLOOKUP(Tabla1[[#This Row],[Referencia]],[1]Hoja1!$A$1:$B$301,2,FALSE)</f>
        <v>50</v>
      </c>
      <c r="J47" s="16">
        <f>Tabla1[[#This Row],[Precio unitario]]*Tabla1[[#This Row],[Total disponibles]]</f>
        <v>164950</v>
      </c>
    </row>
    <row r="48" spans="1:10" x14ac:dyDescent="0.25">
      <c r="A48" s="8" t="s">
        <v>56</v>
      </c>
      <c r="B48" s="1">
        <v>2.35</v>
      </c>
      <c r="C48" s="1">
        <f>Tabla1[[#This Row],[Peso unitario (gr)]]*100</f>
        <v>235</v>
      </c>
      <c r="D48" s="1">
        <f>2935+94+21</f>
        <v>3050</v>
      </c>
      <c r="E48" s="19">
        <f>30+12+400+52+200+300+300</f>
        <v>1294</v>
      </c>
      <c r="F48" s="1">
        <f>Tabla1[[#This Row],[Peso unitario (gr)]]*Tabla1[[#This Row],[Entregadas]]</f>
        <v>3040.9</v>
      </c>
      <c r="G48" s="1">
        <f>Tabla1[[#This Row],[Cantidad total (un)]]-Tabla1[[#This Row],[Entregadas]]</f>
        <v>1756</v>
      </c>
      <c r="H48" s="11">
        <f>(Tabla1[[#This Row],[Total disponibles]]*Tabla1[[#This Row],[Peso unitario (gr)]])/1000</f>
        <v>4.1266000000000007</v>
      </c>
      <c r="I48" s="14">
        <f>VLOOKUP(Tabla1[[#This Row],[Referencia]],[1]Hoja1!$A$1:$B$301,2,FALSE)</f>
        <v>50</v>
      </c>
      <c r="J48" s="16">
        <f>Tabla1[[#This Row],[Precio unitario]]*Tabla1[[#This Row],[Total disponibles]]</f>
        <v>87800</v>
      </c>
    </row>
    <row r="49" spans="1:10" x14ac:dyDescent="0.25">
      <c r="A49" s="8" t="s">
        <v>57</v>
      </c>
      <c r="B49" s="1">
        <v>3.2</v>
      </c>
      <c r="C49" s="1">
        <f>Tabla1[[#This Row],[Peso unitario (gr)]]*100</f>
        <v>320</v>
      </c>
      <c r="D49" s="1">
        <f>277+42+14</f>
        <v>333</v>
      </c>
      <c r="E49" s="1">
        <v>25</v>
      </c>
      <c r="F49" s="1">
        <f>Tabla1[[#This Row],[Peso unitario (gr)]]*Tabla1[[#This Row],[Entregadas]]</f>
        <v>80</v>
      </c>
      <c r="G49" s="1">
        <f>Tabla1[[#This Row],[Cantidad total (un)]]-Tabla1[[#This Row],[Entregadas]]</f>
        <v>308</v>
      </c>
      <c r="H49" s="11">
        <f>(Tabla1[[#This Row],[Total disponibles]]*Tabla1[[#This Row],[Peso unitario (gr)]])/1000</f>
        <v>0.98560000000000003</v>
      </c>
      <c r="I49" s="14">
        <f>VLOOKUP(Tabla1[[#This Row],[Referencia]],[1]Hoja1!$A$1:$B$301,2,FALSE)</f>
        <v>50</v>
      </c>
      <c r="J49" s="16">
        <f>Tabla1[[#This Row],[Precio unitario]]*Tabla1[[#This Row],[Total disponibles]]</f>
        <v>15400</v>
      </c>
    </row>
    <row r="50" spans="1:10" x14ac:dyDescent="0.25">
      <c r="A50" s="8" t="s">
        <v>58</v>
      </c>
      <c r="B50" s="1">
        <v>3.8</v>
      </c>
      <c r="C50" s="1">
        <f>Tabla1[[#This Row],[Peso unitario (gr)]]*100</f>
        <v>380</v>
      </c>
      <c r="D50" s="1">
        <v>109</v>
      </c>
      <c r="E50" s="1">
        <v>0</v>
      </c>
      <c r="F50" s="1">
        <f>Tabla1[[#This Row],[Peso unitario (gr)]]*Tabla1[[#This Row],[Entregadas]]</f>
        <v>0</v>
      </c>
      <c r="G50" s="1">
        <f>Tabla1[[#This Row],[Cantidad total (un)]]-Tabla1[[#This Row],[Entregadas]]</f>
        <v>109</v>
      </c>
      <c r="H50" s="11">
        <f>(Tabla1[[#This Row],[Total disponibles]]*Tabla1[[#This Row],[Peso unitario (gr)]])/1000</f>
        <v>0.41420000000000001</v>
      </c>
      <c r="I50" s="14">
        <f>VLOOKUP(Tabla1[[#This Row],[Referencia]],[1]Hoja1!$A$1:$B$301,2,FALSE)</f>
        <v>100</v>
      </c>
      <c r="J50" s="16">
        <f>Tabla1[[#This Row],[Precio unitario]]*Tabla1[[#This Row],[Total disponibles]]</f>
        <v>10900</v>
      </c>
    </row>
    <row r="51" spans="1:10" x14ac:dyDescent="0.25">
      <c r="A51" s="8" t="s">
        <v>59</v>
      </c>
      <c r="B51" s="1">
        <v>2.8</v>
      </c>
      <c r="C51" s="1">
        <f>Tabla1[[#This Row],[Peso unitario (gr)]]*100</f>
        <v>280</v>
      </c>
      <c r="D51" s="1">
        <v>78</v>
      </c>
      <c r="E51" s="1">
        <v>0</v>
      </c>
      <c r="F51" s="1">
        <f>Tabla1[[#This Row],[Peso unitario (gr)]]*Tabla1[[#This Row],[Entregadas]]</f>
        <v>0</v>
      </c>
      <c r="G51" s="1">
        <f>Tabla1[[#This Row],[Cantidad total (un)]]-Tabla1[[#This Row],[Entregadas]]</f>
        <v>78</v>
      </c>
      <c r="H51" s="11">
        <f>(Tabla1[[#This Row],[Total disponibles]]*Tabla1[[#This Row],[Peso unitario (gr)]])/1000</f>
        <v>0.21839999999999998</v>
      </c>
      <c r="I51" s="14">
        <f>VLOOKUP(Tabla1[[#This Row],[Referencia]],[1]Hoja1!$A$1:$B$301,2,FALSE)</f>
        <v>200</v>
      </c>
      <c r="J51" s="16">
        <f>Tabla1[[#This Row],[Precio unitario]]*Tabla1[[#This Row],[Total disponibles]]</f>
        <v>15600</v>
      </c>
    </row>
    <row r="52" spans="1:10" x14ac:dyDescent="0.25">
      <c r="A52" s="8" t="s">
        <v>60</v>
      </c>
      <c r="B52" s="1">
        <v>26.1</v>
      </c>
      <c r="C52" s="1">
        <f>Tabla1[[#This Row],[Peso unitario (gr)]]*100</f>
        <v>2610</v>
      </c>
      <c r="D52" s="1">
        <v>56</v>
      </c>
      <c r="E52" s="1">
        <v>0</v>
      </c>
      <c r="F52" s="1">
        <f>Tabla1[[#This Row],[Peso unitario (gr)]]*Tabla1[[#This Row],[Entregadas]]</f>
        <v>0</v>
      </c>
      <c r="G52" s="1">
        <f>Tabla1[[#This Row],[Cantidad total (un)]]-Tabla1[[#This Row],[Entregadas]]</f>
        <v>56</v>
      </c>
      <c r="H52" s="11">
        <f>(Tabla1[[#This Row],[Total disponibles]]*Tabla1[[#This Row],[Peso unitario (gr)]])/1000</f>
        <v>1.4616000000000002</v>
      </c>
      <c r="I52" s="14">
        <f>VLOOKUP(Tabla1[[#This Row],[Referencia]],[1]Hoja1!$A$1:$B$301,2,FALSE)</f>
        <v>300</v>
      </c>
      <c r="J52" s="16">
        <f>Tabla1[[#This Row],[Precio unitario]]*Tabla1[[#This Row],[Total disponibles]]</f>
        <v>16800</v>
      </c>
    </row>
    <row r="53" spans="1:10" x14ac:dyDescent="0.25">
      <c r="A53" s="8" t="s">
        <v>61</v>
      </c>
      <c r="B53" s="1">
        <v>9</v>
      </c>
      <c r="C53" s="1">
        <f>Tabla1[[#This Row],[Peso unitario (gr)]]*100</f>
        <v>900</v>
      </c>
      <c r="D53" s="1">
        <v>13</v>
      </c>
      <c r="E53" s="1">
        <v>0</v>
      </c>
      <c r="F53" s="1">
        <f>Tabla1[[#This Row],[Peso unitario (gr)]]*Tabla1[[#This Row],[Entregadas]]</f>
        <v>0</v>
      </c>
      <c r="G53" s="1">
        <f>Tabla1[[#This Row],[Cantidad total (un)]]-Tabla1[[#This Row],[Entregadas]]</f>
        <v>13</v>
      </c>
      <c r="H53" s="11">
        <f>(Tabla1[[#This Row],[Total disponibles]]*Tabla1[[#This Row],[Peso unitario (gr)]])/1000</f>
        <v>0.11700000000000001</v>
      </c>
      <c r="I53" s="14">
        <f>VLOOKUP(Tabla1[[#This Row],[Referencia]],[1]Hoja1!$A$1:$B$301,2,FALSE)</f>
        <v>300</v>
      </c>
      <c r="J53" s="16">
        <f>Tabla1[[#This Row],[Precio unitario]]*Tabla1[[#This Row],[Total disponibles]]</f>
        <v>3900</v>
      </c>
    </row>
    <row r="54" spans="1:10" x14ac:dyDescent="0.25">
      <c r="A54" s="8" t="s">
        <v>62</v>
      </c>
      <c r="B54" s="1">
        <v>0</v>
      </c>
      <c r="C54" s="1">
        <f>Tabla1[[#This Row],[Peso unitario (gr)]]*100</f>
        <v>0</v>
      </c>
      <c r="D54" s="1">
        <v>0</v>
      </c>
      <c r="E54" s="1">
        <v>0</v>
      </c>
      <c r="F54" s="1">
        <f>Tabla1[[#This Row],[Peso unitario (gr)]]*Tabla1[[#This Row],[Entregadas]]</f>
        <v>0</v>
      </c>
      <c r="G54" s="1">
        <f>Tabla1[[#This Row],[Cantidad total (un)]]-Tabla1[[#This Row],[Entregadas]]</f>
        <v>0</v>
      </c>
      <c r="H54" s="11">
        <f>(Tabla1[[#This Row],[Total disponibles]]*Tabla1[[#This Row],[Peso unitario (gr)]])/1000</f>
        <v>0</v>
      </c>
      <c r="I54" s="14">
        <f>VLOOKUP(Tabla1[[#This Row],[Referencia]],[1]Hoja1!$A$1:$B$301,2,FALSE)</f>
        <v>18000</v>
      </c>
      <c r="J54" s="16">
        <f>Tabla1[[#This Row],[Precio unitario]]*Tabla1[[#This Row],[Total disponibles]]</f>
        <v>0</v>
      </c>
    </row>
    <row r="55" spans="1:10" x14ac:dyDescent="0.25">
      <c r="A55" s="8" t="s">
        <v>63</v>
      </c>
      <c r="B55" s="1">
        <v>0</v>
      </c>
      <c r="C55" s="1">
        <f>Tabla1[[#This Row],[Peso unitario (gr)]]*100</f>
        <v>0</v>
      </c>
      <c r="D55" s="1">
        <v>0</v>
      </c>
      <c r="E55" s="1">
        <v>0</v>
      </c>
      <c r="F55" s="1">
        <f>Tabla1[[#This Row],[Peso unitario (gr)]]*Tabla1[[#This Row],[Entregadas]]</f>
        <v>0</v>
      </c>
      <c r="G55" s="1">
        <f>Tabla1[[#This Row],[Cantidad total (un)]]-Tabla1[[#This Row],[Entregadas]]</f>
        <v>0</v>
      </c>
      <c r="H55" s="11">
        <f>(Tabla1[[#This Row],[Total disponibles]]*Tabla1[[#This Row],[Peso unitario (gr)]])/1000</f>
        <v>0</v>
      </c>
      <c r="I55" s="14">
        <f>VLOOKUP(Tabla1[[#This Row],[Referencia]],[1]Hoja1!$A$1:$B$301,2,FALSE)</f>
        <v>530000</v>
      </c>
      <c r="J55" s="16">
        <f>Tabla1[[#This Row],[Precio unitario]]*Tabla1[[#This Row],[Total disponibles]]</f>
        <v>0</v>
      </c>
    </row>
    <row r="56" spans="1:10" x14ac:dyDescent="0.25">
      <c r="A56" s="8" t="s">
        <v>64</v>
      </c>
      <c r="B56" s="1">
        <v>0</v>
      </c>
      <c r="C56" s="1">
        <f>Tabla1[[#This Row],[Peso unitario (gr)]]*100</f>
        <v>0</v>
      </c>
      <c r="D56" s="1">
        <v>0</v>
      </c>
      <c r="E56" s="1">
        <v>0</v>
      </c>
      <c r="F56" s="1">
        <f>Tabla1[[#This Row],[Peso unitario (gr)]]*Tabla1[[#This Row],[Entregadas]]</f>
        <v>0</v>
      </c>
      <c r="G56" s="1">
        <f>Tabla1[[#This Row],[Cantidad total (un)]]-Tabla1[[#This Row],[Entregadas]]</f>
        <v>0</v>
      </c>
      <c r="H56" s="11">
        <f>(Tabla1[[#This Row],[Total disponibles]]*Tabla1[[#This Row],[Peso unitario (gr)]])/1000</f>
        <v>0</v>
      </c>
      <c r="I56" s="14">
        <f>VLOOKUP(Tabla1[[#This Row],[Referencia]],[1]Hoja1!$A$1:$B$301,2,FALSE)</f>
        <v>15000</v>
      </c>
      <c r="J56" s="16">
        <f>Tabla1[[#This Row],[Precio unitario]]*Tabla1[[#This Row],[Total disponibles]]</f>
        <v>0</v>
      </c>
    </row>
    <row r="57" spans="1:10" x14ac:dyDescent="0.25">
      <c r="A57" s="8" t="s">
        <v>65</v>
      </c>
      <c r="B57" s="1">
        <v>0</v>
      </c>
      <c r="C57" s="1">
        <f>Tabla1[[#This Row],[Peso unitario (gr)]]*100</f>
        <v>0</v>
      </c>
      <c r="D57" s="1">
        <v>0</v>
      </c>
      <c r="E57" s="1">
        <v>0</v>
      </c>
      <c r="F57" s="1">
        <f>Tabla1[[#This Row],[Peso unitario (gr)]]*Tabla1[[#This Row],[Entregadas]]</f>
        <v>0</v>
      </c>
      <c r="G57" s="1">
        <f>Tabla1[[#This Row],[Cantidad total (un)]]-Tabla1[[#This Row],[Entregadas]]</f>
        <v>0</v>
      </c>
      <c r="H57" s="11">
        <f>(Tabla1[[#This Row],[Total disponibles]]*Tabla1[[#This Row],[Peso unitario (gr)]])/1000</f>
        <v>0</v>
      </c>
      <c r="I57" s="14">
        <f>VLOOKUP(Tabla1[[#This Row],[Referencia]],[1]Hoja1!$A$1:$B$301,2,FALSE)</f>
        <v>20000</v>
      </c>
      <c r="J57" s="16">
        <f>Tabla1[[#This Row],[Precio unitario]]*Tabla1[[#This Row],[Total disponibles]]</f>
        <v>0</v>
      </c>
    </row>
    <row r="58" spans="1:10" x14ac:dyDescent="0.25">
      <c r="A58" s="8" t="s">
        <v>66</v>
      </c>
      <c r="B58" s="1">
        <v>0</v>
      </c>
      <c r="C58" s="1">
        <f>Tabla1[[#This Row],[Peso unitario (gr)]]*100</f>
        <v>0</v>
      </c>
      <c r="D58" s="1">
        <v>0</v>
      </c>
      <c r="E58" s="1">
        <v>0</v>
      </c>
      <c r="F58" s="1">
        <f>Tabla1[[#This Row],[Peso unitario (gr)]]*Tabla1[[#This Row],[Entregadas]]</f>
        <v>0</v>
      </c>
      <c r="G58" s="1">
        <f>Tabla1[[#This Row],[Cantidad total (un)]]-Tabla1[[#This Row],[Entregadas]]</f>
        <v>0</v>
      </c>
      <c r="H58" s="11">
        <f>(Tabla1[[#This Row],[Total disponibles]]*Tabla1[[#This Row],[Peso unitario (gr)]])/1000</f>
        <v>0</v>
      </c>
      <c r="I58" s="14">
        <f>VLOOKUP(Tabla1[[#This Row],[Referencia]],[1]Hoja1!$A$1:$B$301,2,FALSE)</f>
        <v>20000</v>
      </c>
      <c r="J58" s="16">
        <f>Tabla1[[#This Row],[Precio unitario]]*Tabla1[[#This Row],[Total disponibles]]</f>
        <v>0</v>
      </c>
    </row>
    <row r="59" spans="1:10" x14ac:dyDescent="0.25">
      <c r="A59" s="8" t="s">
        <v>67</v>
      </c>
      <c r="B59" s="1">
        <v>0</v>
      </c>
      <c r="C59" s="1">
        <f>Tabla1[[#This Row],[Peso unitario (gr)]]*100</f>
        <v>0</v>
      </c>
      <c r="D59" s="1">
        <v>0</v>
      </c>
      <c r="E59" s="1">
        <v>0</v>
      </c>
      <c r="F59" s="1">
        <f>Tabla1[[#This Row],[Peso unitario (gr)]]*Tabla1[[#This Row],[Entregadas]]</f>
        <v>0</v>
      </c>
      <c r="G59" s="1">
        <f>Tabla1[[#This Row],[Cantidad total (un)]]-Tabla1[[#This Row],[Entregadas]]</f>
        <v>0</v>
      </c>
      <c r="H59" s="11">
        <f>(Tabla1[[#This Row],[Total disponibles]]*Tabla1[[#This Row],[Peso unitario (gr)]])/1000</f>
        <v>0</v>
      </c>
      <c r="I59" s="14">
        <f>VLOOKUP(Tabla1[[#This Row],[Referencia]],[1]Hoja1!$A$1:$B$301,2,FALSE)</f>
        <v>18000</v>
      </c>
      <c r="J59" s="16">
        <f>Tabla1[[#This Row],[Precio unitario]]*Tabla1[[#This Row],[Total disponibles]]</f>
        <v>0</v>
      </c>
    </row>
    <row r="60" spans="1:10" x14ac:dyDescent="0.25">
      <c r="A60" s="8" t="s">
        <v>68</v>
      </c>
      <c r="B60" s="1">
        <v>0</v>
      </c>
      <c r="C60" s="1">
        <f>Tabla1[[#This Row],[Peso unitario (gr)]]*100</f>
        <v>0</v>
      </c>
      <c r="D60" s="1">
        <v>0</v>
      </c>
      <c r="E60" s="1">
        <v>0</v>
      </c>
      <c r="F60" s="1">
        <f>Tabla1[[#This Row],[Peso unitario (gr)]]*Tabla1[[#This Row],[Entregadas]]</f>
        <v>0</v>
      </c>
      <c r="G60" s="1">
        <f>Tabla1[[#This Row],[Cantidad total (un)]]-Tabla1[[#This Row],[Entregadas]]</f>
        <v>0</v>
      </c>
      <c r="H60" s="11">
        <f>(Tabla1[[#This Row],[Total disponibles]]*Tabla1[[#This Row],[Peso unitario (gr)]])/1000</f>
        <v>0</v>
      </c>
      <c r="I60" s="14">
        <f>VLOOKUP(Tabla1[[#This Row],[Referencia]],[1]Hoja1!$A$1:$B$301,2,FALSE)</f>
        <v>16500</v>
      </c>
      <c r="J60" s="16">
        <f>Tabla1[[#This Row],[Precio unitario]]*Tabla1[[#This Row],[Total disponibles]]</f>
        <v>0</v>
      </c>
    </row>
    <row r="61" spans="1:10" x14ac:dyDescent="0.25">
      <c r="A61" s="8" t="s">
        <v>69</v>
      </c>
      <c r="B61" s="1">
        <v>0</v>
      </c>
      <c r="C61" s="1">
        <f>Tabla1[[#This Row],[Peso unitario (gr)]]*100</f>
        <v>0</v>
      </c>
      <c r="D61" s="1">
        <v>0</v>
      </c>
      <c r="E61" s="1">
        <v>0</v>
      </c>
      <c r="F61" s="1">
        <f>Tabla1[[#This Row],[Peso unitario (gr)]]*Tabla1[[#This Row],[Entregadas]]</f>
        <v>0</v>
      </c>
      <c r="G61" s="1">
        <f>Tabla1[[#This Row],[Cantidad total (un)]]-Tabla1[[#This Row],[Entregadas]]</f>
        <v>0</v>
      </c>
      <c r="H61" s="11">
        <f>(Tabla1[[#This Row],[Total disponibles]]*Tabla1[[#This Row],[Peso unitario (gr)]])/1000</f>
        <v>0</v>
      </c>
      <c r="I61" s="14">
        <f>VLOOKUP(Tabla1[[#This Row],[Referencia]],[1]Hoja1!$A$1:$B$301,2,FALSE)</f>
        <v>28000</v>
      </c>
      <c r="J61" s="16">
        <f>Tabla1[[#This Row],[Precio unitario]]*Tabla1[[#This Row],[Total disponibles]]</f>
        <v>0</v>
      </c>
    </row>
    <row r="62" spans="1:10" x14ac:dyDescent="0.25">
      <c r="A62" s="8" t="s">
        <v>70</v>
      </c>
      <c r="B62" s="1">
        <v>0</v>
      </c>
      <c r="C62" s="1">
        <f>Tabla1[[#This Row],[Peso unitario (gr)]]*100</f>
        <v>0</v>
      </c>
      <c r="D62" s="1">
        <v>0</v>
      </c>
      <c r="E62" s="1">
        <v>0</v>
      </c>
      <c r="F62" s="1">
        <f>Tabla1[[#This Row],[Peso unitario (gr)]]*Tabla1[[#This Row],[Entregadas]]</f>
        <v>0</v>
      </c>
      <c r="G62" s="1">
        <f>Tabla1[[#This Row],[Cantidad total (un)]]-Tabla1[[#This Row],[Entregadas]]</f>
        <v>0</v>
      </c>
      <c r="H62" s="11">
        <f>(Tabla1[[#This Row],[Total disponibles]]*Tabla1[[#This Row],[Peso unitario (gr)]])/1000</f>
        <v>0</v>
      </c>
      <c r="I62" s="14">
        <f>VLOOKUP(Tabla1[[#This Row],[Referencia]],[1]Hoja1!$A$1:$B$301,2,FALSE)</f>
        <v>40000</v>
      </c>
      <c r="J62" s="16">
        <f>Tabla1[[#This Row],[Precio unitario]]*Tabla1[[#This Row],[Total disponibles]]</f>
        <v>0</v>
      </c>
    </row>
    <row r="63" spans="1:10" x14ac:dyDescent="0.25">
      <c r="A63" s="8" t="s">
        <v>71</v>
      </c>
      <c r="B63" s="1">
        <v>0</v>
      </c>
      <c r="C63" s="1">
        <f>Tabla1[[#This Row],[Peso unitario (gr)]]*100</f>
        <v>0</v>
      </c>
      <c r="D63" s="1">
        <v>0</v>
      </c>
      <c r="E63" s="1">
        <v>0</v>
      </c>
      <c r="F63" s="1">
        <f>Tabla1[[#This Row],[Peso unitario (gr)]]*Tabla1[[#This Row],[Entregadas]]</f>
        <v>0</v>
      </c>
      <c r="G63" s="1">
        <f>Tabla1[[#This Row],[Cantidad total (un)]]-Tabla1[[#This Row],[Entregadas]]</f>
        <v>0</v>
      </c>
      <c r="H63" s="11">
        <f>(Tabla1[[#This Row],[Total disponibles]]*Tabla1[[#This Row],[Peso unitario (gr)]])/1000</f>
        <v>0</v>
      </c>
      <c r="I63" s="14">
        <f>VLOOKUP(Tabla1[[#This Row],[Referencia]],[1]Hoja1!$A$1:$B$301,2,FALSE)</f>
        <v>8000</v>
      </c>
      <c r="J63" s="16">
        <f>Tabla1[[#This Row],[Precio unitario]]*Tabla1[[#This Row],[Total disponibles]]</f>
        <v>0</v>
      </c>
    </row>
    <row r="64" spans="1:10" x14ac:dyDescent="0.25">
      <c r="A64" s="8" t="s">
        <v>72</v>
      </c>
      <c r="B64" s="1">
        <v>0</v>
      </c>
      <c r="C64" s="1">
        <f>Tabla1[[#This Row],[Peso unitario (gr)]]*100</f>
        <v>0</v>
      </c>
      <c r="D64" s="1">
        <v>0</v>
      </c>
      <c r="E64" s="1">
        <v>0</v>
      </c>
      <c r="F64" s="1">
        <f>Tabla1[[#This Row],[Peso unitario (gr)]]*Tabla1[[#This Row],[Entregadas]]</f>
        <v>0</v>
      </c>
      <c r="G64" s="1">
        <f>Tabla1[[#This Row],[Cantidad total (un)]]-Tabla1[[#This Row],[Entregadas]]</f>
        <v>0</v>
      </c>
      <c r="H64" s="11">
        <f>(Tabla1[[#This Row],[Total disponibles]]*Tabla1[[#This Row],[Peso unitario (gr)]])/1000</f>
        <v>0</v>
      </c>
      <c r="I64" s="14">
        <f>VLOOKUP(Tabla1[[#This Row],[Referencia]],[1]Hoja1!$A$1:$B$301,2,FALSE)</f>
        <v>15000</v>
      </c>
      <c r="J64" s="16">
        <f>Tabla1[[#This Row],[Precio unitario]]*Tabla1[[#This Row],[Total disponibles]]</f>
        <v>0</v>
      </c>
    </row>
    <row r="65" spans="1:10" x14ac:dyDescent="0.25">
      <c r="A65" s="8" t="s">
        <v>73</v>
      </c>
      <c r="B65" s="1">
        <v>0</v>
      </c>
      <c r="C65" s="1">
        <f>Tabla1[[#This Row],[Peso unitario (gr)]]*100</f>
        <v>0</v>
      </c>
      <c r="D65" s="1">
        <v>0</v>
      </c>
      <c r="E65" s="1">
        <v>0</v>
      </c>
      <c r="F65" s="1">
        <f>Tabla1[[#This Row],[Peso unitario (gr)]]*Tabla1[[#This Row],[Entregadas]]</f>
        <v>0</v>
      </c>
      <c r="G65" s="1">
        <f>Tabla1[[#This Row],[Cantidad total (un)]]-Tabla1[[#This Row],[Entregadas]]</f>
        <v>0</v>
      </c>
      <c r="H65" s="11">
        <f>(Tabla1[[#This Row],[Total disponibles]]*Tabla1[[#This Row],[Peso unitario (gr)]])/1000</f>
        <v>0</v>
      </c>
      <c r="I65" s="14">
        <f>VLOOKUP(Tabla1[[#This Row],[Referencia]],[1]Hoja1!$A$1:$B$301,2,FALSE)</f>
        <v>83000</v>
      </c>
      <c r="J65" s="16">
        <f>Tabla1[[#This Row],[Precio unitario]]*Tabla1[[#This Row],[Total disponibles]]</f>
        <v>0</v>
      </c>
    </row>
    <row r="66" spans="1:10" x14ac:dyDescent="0.25">
      <c r="A66" s="8" t="s">
        <v>74</v>
      </c>
      <c r="B66" s="1">
        <v>0</v>
      </c>
      <c r="C66" s="1">
        <f>Tabla1[[#This Row],[Peso unitario (gr)]]*100</f>
        <v>0</v>
      </c>
      <c r="D66" s="1">
        <v>0</v>
      </c>
      <c r="E66" s="1">
        <v>0</v>
      </c>
      <c r="F66" s="1">
        <f>Tabla1[[#This Row],[Peso unitario (gr)]]*Tabla1[[#This Row],[Entregadas]]</f>
        <v>0</v>
      </c>
      <c r="G66" s="1">
        <f>Tabla1[[#This Row],[Cantidad total (un)]]-Tabla1[[#This Row],[Entregadas]]</f>
        <v>0</v>
      </c>
      <c r="H66" s="11">
        <f>(Tabla1[[#This Row],[Total disponibles]]*Tabla1[[#This Row],[Peso unitario (gr)]])/1000</f>
        <v>0</v>
      </c>
      <c r="I66" s="14">
        <f>VLOOKUP(Tabla1[[#This Row],[Referencia]],[1]Hoja1!$A$1:$B$301,2,FALSE)</f>
        <v>83000</v>
      </c>
      <c r="J66" s="16">
        <f>Tabla1[[#This Row],[Precio unitario]]*Tabla1[[#This Row],[Total disponibles]]</f>
        <v>0</v>
      </c>
    </row>
    <row r="67" spans="1:10" x14ac:dyDescent="0.25">
      <c r="A67" s="8" t="s">
        <v>75</v>
      </c>
      <c r="B67" s="1">
        <v>0</v>
      </c>
      <c r="C67" s="1">
        <f>Tabla1[[#This Row],[Peso unitario (gr)]]*100</f>
        <v>0</v>
      </c>
      <c r="D67" s="1">
        <v>0</v>
      </c>
      <c r="E67" s="1">
        <v>0</v>
      </c>
      <c r="F67" s="1">
        <f>Tabla1[[#This Row],[Peso unitario (gr)]]*Tabla1[[#This Row],[Entregadas]]</f>
        <v>0</v>
      </c>
      <c r="G67" s="1">
        <f>Tabla1[[#This Row],[Cantidad total (un)]]-Tabla1[[#This Row],[Entregadas]]</f>
        <v>0</v>
      </c>
      <c r="H67" s="11">
        <f>(Tabla1[[#This Row],[Total disponibles]]*Tabla1[[#This Row],[Peso unitario (gr)]])/1000</f>
        <v>0</v>
      </c>
      <c r="I67" s="14">
        <f>VLOOKUP(Tabla1[[#This Row],[Referencia]],[1]Hoja1!$A$1:$B$301,2,FALSE)</f>
        <v>83000</v>
      </c>
      <c r="J67" s="16">
        <f>Tabla1[[#This Row],[Precio unitario]]*Tabla1[[#This Row],[Total disponibles]]</f>
        <v>0</v>
      </c>
    </row>
    <row r="68" spans="1:10" x14ac:dyDescent="0.25">
      <c r="A68" s="8" t="s">
        <v>76</v>
      </c>
      <c r="B68" s="1">
        <v>0</v>
      </c>
      <c r="C68" s="1">
        <f>Tabla1[[#This Row],[Peso unitario (gr)]]*100</f>
        <v>0</v>
      </c>
      <c r="D68" s="1">
        <v>0</v>
      </c>
      <c r="E68" s="1">
        <v>0</v>
      </c>
      <c r="F68" s="1">
        <f>Tabla1[[#This Row],[Peso unitario (gr)]]*Tabla1[[#This Row],[Entregadas]]</f>
        <v>0</v>
      </c>
      <c r="G68" s="1">
        <f>Tabla1[[#This Row],[Cantidad total (un)]]-Tabla1[[#This Row],[Entregadas]]</f>
        <v>0</v>
      </c>
      <c r="H68" s="11">
        <f>(Tabla1[[#This Row],[Total disponibles]]*Tabla1[[#This Row],[Peso unitario (gr)]])/1000</f>
        <v>0</v>
      </c>
      <c r="I68" s="14">
        <f>VLOOKUP(Tabla1[[#This Row],[Referencia]],[1]Hoja1!$A$1:$B$301,2,FALSE)</f>
        <v>83000</v>
      </c>
      <c r="J68" s="16">
        <f>Tabla1[[#This Row],[Precio unitario]]*Tabla1[[#This Row],[Total disponibles]]</f>
        <v>0</v>
      </c>
    </row>
    <row r="69" spans="1:10" x14ac:dyDescent="0.25">
      <c r="A69" s="8" t="s">
        <v>77</v>
      </c>
      <c r="B69" s="1">
        <v>0</v>
      </c>
      <c r="C69" s="1">
        <v>0</v>
      </c>
      <c r="D69" s="1">
        <v>0</v>
      </c>
      <c r="E69" s="1">
        <v>0</v>
      </c>
      <c r="F69" s="1">
        <f>Tabla1[[#This Row],[Peso unitario (gr)]]*Tabla1[[#This Row],[Entregadas]]</f>
        <v>0</v>
      </c>
      <c r="G69" s="1">
        <f>Tabla1[[#This Row],[Cantidad total (un)]]-Tabla1[[#This Row],[Entregadas]]</f>
        <v>0</v>
      </c>
      <c r="H69" s="11">
        <f>(Tabla1[[#This Row],[Total disponibles]]*Tabla1[[#This Row],[Peso unitario (gr)]])/1000</f>
        <v>0</v>
      </c>
      <c r="I69" s="14">
        <f>VLOOKUP(Tabla1[[#This Row],[Referencia]],[1]Hoja1!$A$1:$B$301,2,FALSE)</f>
        <v>40000</v>
      </c>
      <c r="J69" s="16">
        <f>Tabla1[[#This Row],[Precio unitario]]*Tabla1[[#This Row],[Total disponibles]]</f>
        <v>0</v>
      </c>
    </row>
    <row r="70" spans="1:10" x14ac:dyDescent="0.25">
      <c r="A70" s="8" t="s">
        <v>78</v>
      </c>
      <c r="B70" s="1">
        <v>2.9</v>
      </c>
      <c r="C70" s="1">
        <f>Tabla1[[#This Row],[Peso unitario (gr)]]*100</f>
        <v>290</v>
      </c>
      <c r="D70" s="1">
        <v>160</v>
      </c>
      <c r="E70" s="1">
        <v>1</v>
      </c>
      <c r="F70" s="1">
        <f>Tabla1[[#This Row],[Peso unitario (gr)]]*Tabla1[[#This Row],[Entregadas]]</f>
        <v>2.9</v>
      </c>
      <c r="G70" s="1">
        <f>Tabla1[[#This Row],[Cantidad total (un)]]-Tabla1[[#This Row],[Entregadas]]</f>
        <v>159</v>
      </c>
      <c r="H70" s="11">
        <f>(Tabla1[[#This Row],[Total disponibles]]*Tabla1[[#This Row],[Peso unitario (gr)]])/1000</f>
        <v>0.46109999999999995</v>
      </c>
      <c r="I70" s="14">
        <f>VLOOKUP(Tabla1[[#This Row],[Referencia]],[1]Hoja1!$A$1:$B$301,2,FALSE)</f>
        <v>1200</v>
      </c>
      <c r="J70" s="16">
        <f>Tabla1[[#This Row],[Precio unitario]]*Tabla1[[#This Row],[Total disponibles]]</f>
        <v>190800</v>
      </c>
    </row>
    <row r="71" spans="1:10" x14ac:dyDescent="0.25">
      <c r="A71" s="8" t="s">
        <v>79</v>
      </c>
      <c r="B71" s="1">
        <v>9.1999999999999993</v>
      </c>
      <c r="C71" s="1">
        <f>Tabla1[[#This Row],[Peso unitario (gr)]]*100</f>
        <v>919.99999999999989</v>
      </c>
      <c r="D71" s="1">
        <f>21+322</f>
        <v>343</v>
      </c>
      <c r="E71" s="1">
        <f>70+135+2</f>
        <v>207</v>
      </c>
      <c r="F71" s="1">
        <f>Tabla1[[#This Row],[Peso unitario (gr)]]*Tabla1[[#This Row],[Entregadas]]</f>
        <v>1904.3999999999999</v>
      </c>
      <c r="G71" s="1">
        <f>Tabla1[[#This Row],[Cantidad total (un)]]-Tabla1[[#This Row],[Entregadas]]</f>
        <v>136</v>
      </c>
      <c r="H71" s="11">
        <f>(Tabla1[[#This Row],[Total disponibles]]*Tabla1[[#This Row],[Peso unitario (gr)]])/1000</f>
        <v>1.2511999999999999</v>
      </c>
      <c r="I71" s="14">
        <f>VLOOKUP(Tabla1[[#This Row],[Referencia]],[1]Hoja1!$A$1:$B$301,2,FALSE)</f>
        <v>3100</v>
      </c>
      <c r="J71" s="16">
        <f>Tabla1[[#This Row],[Precio unitario]]*Tabla1[[#This Row],[Total disponibles]]</f>
        <v>421600</v>
      </c>
    </row>
    <row r="72" spans="1:10" x14ac:dyDescent="0.25">
      <c r="A72" s="8" t="s">
        <v>80</v>
      </c>
      <c r="B72" s="1">
        <v>20.7</v>
      </c>
      <c r="C72" s="1">
        <f>Tabla1[[#This Row],[Peso unitario (gr)]]*100</f>
        <v>2070</v>
      </c>
      <c r="D72" s="1">
        <v>78</v>
      </c>
      <c r="E72" s="1">
        <v>0</v>
      </c>
      <c r="F72" s="1">
        <f>Tabla1[[#This Row],[Peso unitario (gr)]]*Tabla1[[#This Row],[Entregadas]]</f>
        <v>0</v>
      </c>
      <c r="G72" s="1">
        <f>Tabla1[[#This Row],[Cantidad total (un)]]-Tabla1[[#This Row],[Entregadas]]</f>
        <v>78</v>
      </c>
      <c r="H72" s="11">
        <f>(Tabla1[[#This Row],[Total disponibles]]*Tabla1[[#This Row],[Peso unitario (gr)]])/1000</f>
        <v>1.6145999999999998</v>
      </c>
      <c r="I72" s="14">
        <f>VLOOKUP(Tabla1[[#This Row],[Referencia]],[1]Hoja1!$A$1:$B$301,2,FALSE)</f>
        <v>500</v>
      </c>
      <c r="J72" s="16">
        <f>Tabla1[[#This Row],[Precio unitario]]*Tabla1[[#This Row],[Total disponibles]]</f>
        <v>39000</v>
      </c>
    </row>
    <row r="73" spans="1:10" x14ac:dyDescent="0.25">
      <c r="A73" s="8" t="s">
        <v>81</v>
      </c>
      <c r="B73" s="1">
        <v>6.8</v>
      </c>
      <c r="C73" s="1">
        <f>Tabla1[[#This Row],[Peso unitario (gr)]]*100</f>
        <v>680</v>
      </c>
      <c r="D73" s="1">
        <f>31+87</f>
        <v>118</v>
      </c>
      <c r="E73" s="1">
        <v>0</v>
      </c>
      <c r="F73" s="1">
        <f>Tabla1[[#This Row],[Peso unitario (gr)]]*Tabla1[[#This Row],[Entregadas]]</f>
        <v>0</v>
      </c>
      <c r="G73" s="1">
        <f>Tabla1[[#This Row],[Cantidad total (un)]]-Tabla1[[#This Row],[Entregadas]]</f>
        <v>118</v>
      </c>
      <c r="H73" s="11">
        <f>(Tabla1[[#This Row],[Total disponibles]]*Tabla1[[#This Row],[Peso unitario (gr)]])/1000</f>
        <v>0.8024</v>
      </c>
      <c r="I73" s="14">
        <f>VLOOKUP(Tabla1[[#This Row],[Referencia]],[1]Hoja1!$A$1:$B$301,2,FALSE)</f>
        <v>450</v>
      </c>
      <c r="J73" s="16">
        <f>Tabla1[[#This Row],[Precio unitario]]*Tabla1[[#This Row],[Total disponibles]]</f>
        <v>53100</v>
      </c>
    </row>
    <row r="74" spans="1:10" x14ac:dyDescent="0.25">
      <c r="A74" s="8" t="s">
        <v>82</v>
      </c>
      <c r="B74" s="1">
        <v>2.9</v>
      </c>
      <c r="C74" s="1">
        <f>Tabla1[[#This Row],[Peso unitario (gr)]]*100</f>
        <v>290</v>
      </c>
      <c r="D74" s="1">
        <f>200+100</f>
        <v>300</v>
      </c>
      <c r="E74" s="1">
        <f>100+200</f>
        <v>300</v>
      </c>
      <c r="F74" s="1">
        <f>Tabla1[[#This Row],[Peso unitario (gr)]]*Tabla1[[#This Row],[Entregadas]]</f>
        <v>870</v>
      </c>
      <c r="G74" s="1">
        <f>Tabla1[[#This Row],[Cantidad total (un)]]-Tabla1[[#This Row],[Entregadas]]</f>
        <v>0</v>
      </c>
      <c r="H74" s="11">
        <f>(Tabla1[[#This Row],[Total disponibles]]*Tabla1[[#This Row],[Peso unitario (gr)]])/1000</f>
        <v>0</v>
      </c>
      <c r="I74" s="14">
        <f>VLOOKUP(Tabla1[[#This Row],[Referencia]],[1]Hoja1!$A$1:$B$301,2,FALSE)</f>
        <v>800</v>
      </c>
      <c r="J74" s="16">
        <f>Tabla1[[#This Row],[Precio unitario]]*Tabla1[[#This Row],[Total disponibles]]</f>
        <v>0</v>
      </c>
    </row>
    <row r="75" spans="1:10" x14ac:dyDescent="0.25">
      <c r="A75" s="8" t="s">
        <v>83</v>
      </c>
      <c r="B75" s="1">
        <v>6.6</v>
      </c>
      <c r="C75" s="1">
        <f>Tabla1[[#This Row],[Peso unitario (gr)]]*100</f>
        <v>660</v>
      </c>
      <c r="D75" s="1">
        <v>621</v>
      </c>
      <c r="E75" s="1">
        <v>0</v>
      </c>
      <c r="F75" s="1">
        <f>Tabla1[[#This Row],[Peso unitario (gr)]]*Tabla1[[#This Row],[Entregadas]]</f>
        <v>0</v>
      </c>
      <c r="G75" s="1">
        <f>Tabla1[[#This Row],[Cantidad total (un)]]-Tabla1[[#This Row],[Entregadas]]</f>
        <v>621</v>
      </c>
      <c r="H75" s="11">
        <f>(Tabla1[[#This Row],[Total disponibles]]*Tabla1[[#This Row],[Peso unitario (gr)]])/1000</f>
        <v>4.0985999999999994</v>
      </c>
      <c r="I75" s="14">
        <f>VLOOKUP(Tabla1[[#This Row],[Referencia]],[1]Hoja1!$A$1:$B$301,2,FALSE)</f>
        <v>800</v>
      </c>
      <c r="J75" s="16">
        <f>Tabla1[[#This Row],[Precio unitario]]*Tabla1[[#This Row],[Total disponibles]]</f>
        <v>496800</v>
      </c>
    </row>
    <row r="76" spans="1:10" x14ac:dyDescent="0.25">
      <c r="A76" s="8" t="s">
        <v>84</v>
      </c>
      <c r="B76" s="1">
        <v>17.5</v>
      </c>
      <c r="C76" s="1">
        <f>Tabla1[[#This Row],[Peso unitario (gr)]]*100</f>
        <v>1750</v>
      </c>
      <c r="D76" s="1">
        <v>104</v>
      </c>
      <c r="E76" s="1">
        <v>0</v>
      </c>
      <c r="F76" s="1">
        <f>Tabla1[[#This Row],[Peso unitario (gr)]]*Tabla1[[#This Row],[Entregadas]]</f>
        <v>0</v>
      </c>
      <c r="G76" s="1">
        <f>Tabla1[[#This Row],[Cantidad total (un)]]-Tabla1[[#This Row],[Entregadas]]</f>
        <v>104</v>
      </c>
      <c r="H76" s="11">
        <f>(Tabla1[[#This Row],[Total disponibles]]*Tabla1[[#This Row],[Peso unitario (gr)]])/1000</f>
        <v>1.82</v>
      </c>
      <c r="I76" s="14">
        <f>VLOOKUP(Tabla1[[#This Row],[Referencia]],[1]Hoja1!$A$1:$B$301,2,FALSE)</f>
        <v>900</v>
      </c>
      <c r="J76" s="16">
        <f>Tabla1[[#This Row],[Precio unitario]]*Tabla1[[#This Row],[Total disponibles]]</f>
        <v>93600</v>
      </c>
    </row>
    <row r="77" spans="1:10" x14ac:dyDescent="0.25">
      <c r="A77" s="8" t="s">
        <v>85</v>
      </c>
      <c r="B77" s="1">
        <v>9</v>
      </c>
      <c r="C77" s="1">
        <f>Tabla1[[#This Row],[Peso unitario (gr)]]*100</f>
        <v>900</v>
      </c>
      <c r="D77" s="1">
        <v>100</v>
      </c>
      <c r="E77" s="1">
        <v>0</v>
      </c>
      <c r="F77" s="1">
        <f>Tabla1[[#This Row],[Peso unitario (gr)]]*Tabla1[[#This Row],[Entregadas]]</f>
        <v>0</v>
      </c>
      <c r="G77" s="1">
        <f>Tabla1[[#This Row],[Cantidad total (un)]]-Tabla1[[#This Row],[Entregadas]]</f>
        <v>100</v>
      </c>
      <c r="H77" s="11">
        <f>(Tabla1[[#This Row],[Total disponibles]]*Tabla1[[#This Row],[Peso unitario (gr)]])/1000</f>
        <v>0.9</v>
      </c>
      <c r="I77" s="14"/>
      <c r="J77" s="16">
        <f>Tabla1[[#This Row],[Precio unitario]]*Tabla1[[#This Row],[Total disponibles]]</f>
        <v>0</v>
      </c>
    </row>
    <row r="78" spans="1:10" x14ac:dyDescent="0.25">
      <c r="A78" s="8" t="s">
        <v>86</v>
      </c>
      <c r="B78" s="1">
        <v>6.6</v>
      </c>
      <c r="C78" s="1">
        <f>Tabla1[[#This Row],[Peso unitario (gr)]]*100</f>
        <v>660</v>
      </c>
      <c r="D78" s="1">
        <v>158</v>
      </c>
      <c r="E78" s="1">
        <v>0</v>
      </c>
      <c r="F78" s="1">
        <f>Tabla1[[#This Row],[Peso unitario (gr)]]*Tabla1[[#This Row],[Entregadas]]</f>
        <v>0</v>
      </c>
      <c r="G78" s="1">
        <f>Tabla1[[#This Row],[Cantidad total (un)]]-Tabla1[[#This Row],[Entregadas]]</f>
        <v>158</v>
      </c>
      <c r="H78" s="11">
        <f>(Tabla1[[#This Row],[Total disponibles]]*Tabla1[[#This Row],[Peso unitario (gr)]])/1000</f>
        <v>1.0427999999999999</v>
      </c>
      <c r="I78" s="14">
        <f>VLOOKUP(Tabla1[[#This Row],[Referencia]],[1]Hoja1!$A$1:$B$301,2,FALSE)</f>
        <v>1600</v>
      </c>
      <c r="J78" s="16">
        <f>Tabla1[[#This Row],[Precio unitario]]*Tabla1[[#This Row],[Total disponibles]]</f>
        <v>252800</v>
      </c>
    </row>
    <row r="79" spans="1:10" x14ac:dyDescent="0.25">
      <c r="A79" s="8" t="s">
        <v>87</v>
      </c>
      <c r="B79" s="1">
        <v>9.9</v>
      </c>
      <c r="C79" s="1">
        <f>Tabla1[[#This Row],[Peso unitario (gr)]]*100</f>
        <v>990</v>
      </c>
      <c r="D79" s="1">
        <v>132</v>
      </c>
      <c r="E79" s="1">
        <v>0</v>
      </c>
      <c r="F79" s="1">
        <f>Tabla1[[#This Row],[Peso unitario (gr)]]*Tabla1[[#This Row],[Entregadas]]</f>
        <v>0</v>
      </c>
      <c r="G79" s="1">
        <f>Tabla1[[#This Row],[Cantidad total (un)]]-Tabla1[[#This Row],[Entregadas]]</f>
        <v>132</v>
      </c>
      <c r="H79" s="11">
        <f>(Tabla1[[#This Row],[Total disponibles]]*Tabla1[[#This Row],[Peso unitario (gr)]])/1000</f>
        <v>1.3068</v>
      </c>
      <c r="I79" s="14">
        <f>VLOOKUP(Tabla1[[#This Row],[Referencia]],[1]Hoja1!$A$1:$B$301,2,FALSE)</f>
        <v>500</v>
      </c>
      <c r="J79" s="16">
        <f>Tabla1[[#This Row],[Precio unitario]]*Tabla1[[#This Row],[Total disponibles]]</f>
        <v>66000</v>
      </c>
    </row>
    <row r="80" spans="1:10" x14ac:dyDescent="0.25">
      <c r="A80" s="8" t="s">
        <v>88</v>
      </c>
      <c r="B80" s="1">
        <v>8.6999999999999993</v>
      </c>
      <c r="C80" s="1">
        <f>Tabla1[[#This Row],[Peso unitario (gr)]]*100</f>
        <v>869.99999999999989</v>
      </c>
      <c r="D80" s="1">
        <f>7+107</f>
        <v>114</v>
      </c>
      <c r="E80" s="1">
        <f>6+108</f>
        <v>114</v>
      </c>
      <c r="F80" s="1">
        <f>Tabla1[[#This Row],[Peso unitario (gr)]]*Tabla1[[#This Row],[Entregadas]]</f>
        <v>991.8</v>
      </c>
      <c r="G80" s="1">
        <f>Tabla1[[#This Row],[Cantidad total (un)]]-Tabla1[[#This Row],[Entregadas]]</f>
        <v>0</v>
      </c>
      <c r="H80" s="11">
        <f>(Tabla1[[#This Row],[Total disponibles]]*Tabla1[[#This Row],[Peso unitario (gr)]])/1000</f>
        <v>0</v>
      </c>
      <c r="I80" s="14">
        <f>VLOOKUP(Tabla1[[#This Row],[Referencia]],[1]Hoja1!$A$1:$B$301,2,FALSE)</f>
        <v>400</v>
      </c>
      <c r="J80" s="16">
        <f>Tabla1[[#This Row],[Precio unitario]]*Tabla1[[#This Row],[Total disponibles]]</f>
        <v>0</v>
      </c>
    </row>
    <row r="81" spans="1:10" x14ac:dyDescent="0.25">
      <c r="A81" s="8" t="s">
        <v>89</v>
      </c>
      <c r="B81" s="1">
        <v>4.7</v>
      </c>
      <c r="C81" s="1">
        <f>Tabla1[[#This Row],[Peso unitario (gr)]]*100</f>
        <v>470</v>
      </c>
      <c r="D81" s="1">
        <f>42+41+75</f>
        <v>158</v>
      </c>
      <c r="E81" s="1">
        <v>0</v>
      </c>
      <c r="F81" s="1">
        <f>Tabla1[[#This Row],[Peso unitario (gr)]]*Tabla1[[#This Row],[Entregadas]]</f>
        <v>0</v>
      </c>
      <c r="G81" s="1">
        <f>Tabla1[[#This Row],[Cantidad total (un)]]-Tabla1[[#This Row],[Entregadas]]</f>
        <v>158</v>
      </c>
      <c r="H81" s="11">
        <f>(Tabla1[[#This Row],[Total disponibles]]*Tabla1[[#This Row],[Peso unitario (gr)]])/1000</f>
        <v>0.74260000000000004</v>
      </c>
      <c r="I81" s="14">
        <f>VLOOKUP(Tabla1[[#This Row],[Referencia]],[1]Hoja1!$A$1:$B$301,2,FALSE)</f>
        <v>450</v>
      </c>
      <c r="J81" s="16">
        <f>Tabla1[[#This Row],[Precio unitario]]*Tabla1[[#This Row],[Total disponibles]]</f>
        <v>71100</v>
      </c>
    </row>
    <row r="82" spans="1:10" x14ac:dyDescent="0.25">
      <c r="A82" s="8" t="s">
        <v>90</v>
      </c>
      <c r="B82" s="1">
        <v>4.7</v>
      </c>
      <c r="C82" s="1">
        <f>Tabla1[[#This Row],[Peso unitario (gr)]]*100</f>
        <v>470</v>
      </c>
      <c r="D82" s="1">
        <v>270</v>
      </c>
      <c r="E82" s="1">
        <v>0</v>
      </c>
      <c r="F82" s="1">
        <f>Tabla1[[#This Row],[Peso unitario (gr)]]*Tabla1[[#This Row],[Entregadas]]</f>
        <v>0</v>
      </c>
      <c r="G82" s="1">
        <f>Tabla1[[#This Row],[Cantidad total (un)]]-Tabla1[[#This Row],[Entregadas]]</f>
        <v>270</v>
      </c>
      <c r="H82" s="11">
        <f>(Tabla1[[#This Row],[Total disponibles]]*Tabla1[[#This Row],[Peso unitario (gr)]])/1000</f>
        <v>1.2689999999999999</v>
      </c>
      <c r="I82" s="14">
        <f>VLOOKUP(Tabla1[[#This Row],[Referencia]],[1]Hoja1!$A$1:$B$301,2,FALSE)</f>
        <v>450</v>
      </c>
      <c r="J82" s="16">
        <f>Tabla1[[#This Row],[Precio unitario]]*Tabla1[[#This Row],[Total disponibles]]</f>
        <v>121500</v>
      </c>
    </row>
    <row r="83" spans="1:10" x14ac:dyDescent="0.25">
      <c r="A83" s="8" t="s">
        <v>91</v>
      </c>
      <c r="B83" s="1">
        <v>10.7</v>
      </c>
      <c r="C83" s="1">
        <f>Tabla1[[#This Row],[Peso unitario (gr)]]*100</f>
        <v>1070</v>
      </c>
      <c r="D83" s="1">
        <v>46</v>
      </c>
      <c r="E83" s="1">
        <v>0</v>
      </c>
      <c r="F83" s="1">
        <f>Tabla1[[#This Row],[Peso unitario (gr)]]*Tabla1[[#This Row],[Entregadas]]</f>
        <v>0</v>
      </c>
      <c r="G83" s="1">
        <f>Tabla1[[#This Row],[Cantidad total (un)]]-Tabla1[[#This Row],[Entregadas]]</f>
        <v>46</v>
      </c>
      <c r="H83" s="11">
        <f>(Tabla1[[#This Row],[Total disponibles]]*Tabla1[[#This Row],[Peso unitario (gr)]])/1000</f>
        <v>0.49219999999999997</v>
      </c>
      <c r="I83" s="14">
        <f>VLOOKUP(Tabla1[[#This Row],[Referencia]],[1]Hoja1!$A$1:$B$301,2,FALSE)</f>
        <v>450</v>
      </c>
      <c r="J83" s="16">
        <f>Tabla1[[#This Row],[Precio unitario]]*Tabla1[[#This Row],[Total disponibles]]</f>
        <v>20700</v>
      </c>
    </row>
    <row r="84" spans="1:10" x14ac:dyDescent="0.25">
      <c r="A84" s="8" t="s">
        <v>92</v>
      </c>
      <c r="B84" s="1">
        <v>10.7</v>
      </c>
      <c r="C84" s="1">
        <f>Tabla1[[#This Row],[Peso unitario (gr)]]*100</f>
        <v>1070</v>
      </c>
      <c r="D84" s="1">
        <v>65</v>
      </c>
      <c r="E84" s="1">
        <v>0</v>
      </c>
      <c r="F84" s="1">
        <f>Tabla1[[#This Row],[Peso unitario (gr)]]*Tabla1[[#This Row],[Entregadas]]</f>
        <v>0</v>
      </c>
      <c r="G84" s="1">
        <f>Tabla1[[#This Row],[Cantidad total (un)]]-Tabla1[[#This Row],[Entregadas]]</f>
        <v>65</v>
      </c>
      <c r="H84" s="11">
        <f>(Tabla1[[#This Row],[Total disponibles]]*Tabla1[[#This Row],[Peso unitario (gr)]])/1000</f>
        <v>0.69550000000000001</v>
      </c>
      <c r="I84" s="14">
        <f>VLOOKUP(Tabla1[[#This Row],[Referencia]],[1]Hoja1!$A$1:$B$301,2,FALSE)</f>
        <v>600</v>
      </c>
      <c r="J84" s="16">
        <f>Tabla1[[#This Row],[Precio unitario]]*Tabla1[[#This Row],[Total disponibles]]</f>
        <v>39000</v>
      </c>
    </row>
    <row r="85" spans="1:10" x14ac:dyDescent="0.25">
      <c r="A85" s="8" t="s">
        <v>93</v>
      </c>
      <c r="B85" s="1">
        <v>3.3</v>
      </c>
      <c r="C85" s="1">
        <f>Tabla1[[#This Row],[Peso unitario (gr)]]*100</f>
        <v>330</v>
      </c>
      <c r="D85" s="1">
        <v>49</v>
      </c>
      <c r="E85" s="1">
        <v>0</v>
      </c>
      <c r="F85" s="1">
        <f>Tabla1[[#This Row],[Peso unitario (gr)]]*Tabla1[[#This Row],[Entregadas]]</f>
        <v>0</v>
      </c>
      <c r="G85" s="1">
        <f>Tabla1[[#This Row],[Cantidad total (un)]]-Tabla1[[#This Row],[Entregadas]]</f>
        <v>49</v>
      </c>
      <c r="H85" s="11">
        <f>(Tabla1[[#This Row],[Total disponibles]]*Tabla1[[#This Row],[Peso unitario (gr)]])/1000</f>
        <v>0.16169999999999998</v>
      </c>
      <c r="I85" s="14">
        <f>VLOOKUP(Tabla1[[#This Row],[Referencia]],[1]Hoja1!$A$1:$B$301,2,FALSE)</f>
        <v>350</v>
      </c>
      <c r="J85" s="16">
        <f>Tabla1[[#This Row],[Precio unitario]]*Tabla1[[#This Row],[Total disponibles]]</f>
        <v>17150</v>
      </c>
    </row>
    <row r="86" spans="1:10" x14ac:dyDescent="0.25">
      <c r="A86" s="8" t="s">
        <v>94</v>
      </c>
      <c r="B86" s="1">
        <v>0</v>
      </c>
      <c r="C86" s="1">
        <f>Tabla1[[#This Row],[Peso unitario (gr)]]*100</f>
        <v>0</v>
      </c>
      <c r="D86" s="1">
        <v>100</v>
      </c>
      <c r="E86" s="1">
        <v>0</v>
      </c>
      <c r="F86" s="1">
        <f>Tabla1[[#This Row],[Peso unitario (gr)]]*Tabla1[[#This Row],[Entregadas]]</f>
        <v>0</v>
      </c>
      <c r="G86" s="1">
        <f>Tabla1[[#This Row],[Cantidad total (un)]]-Tabla1[[#This Row],[Entregadas]]</f>
        <v>100</v>
      </c>
      <c r="H86" s="11">
        <f>(Tabla1[[#This Row],[Total disponibles]]*Tabla1[[#This Row],[Peso unitario (gr)]])/1000</f>
        <v>0</v>
      </c>
      <c r="I86" s="14">
        <f>VLOOKUP(Tabla1[[#This Row],[Referencia]],[1]Hoja1!$A$1:$B$301,2,FALSE)</f>
        <v>2400</v>
      </c>
      <c r="J86" s="16">
        <f>Tabla1[[#This Row],[Precio unitario]]*Tabla1[[#This Row],[Total disponibles]]</f>
        <v>240000</v>
      </c>
    </row>
    <row r="87" spans="1:10" x14ac:dyDescent="0.25">
      <c r="A87" s="8" t="s">
        <v>95</v>
      </c>
      <c r="B87" s="1">
        <v>2.8</v>
      </c>
      <c r="C87" s="1">
        <f>Tabla1[[#This Row],[Peso unitario (gr)]]*100</f>
        <v>280</v>
      </c>
      <c r="D87" s="1">
        <v>103</v>
      </c>
      <c r="E87" s="1">
        <v>40</v>
      </c>
      <c r="F87" s="1">
        <f>Tabla1[[#This Row],[Peso unitario (gr)]]*Tabla1[[#This Row],[Entregadas]]</f>
        <v>112</v>
      </c>
      <c r="G87" s="1">
        <f>Tabla1[[#This Row],[Cantidad total (un)]]-Tabla1[[#This Row],[Entregadas]]</f>
        <v>63</v>
      </c>
      <c r="H87" s="11">
        <f>(Tabla1[[#This Row],[Total disponibles]]*Tabla1[[#This Row],[Peso unitario (gr)]])/1000</f>
        <v>0.17639999999999997</v>
      </c>
      <c r="I87" s="14">
        <f>VLOOKUP(Tabla1[[#This Row],[Referencia]],[1]Hoja1!$A$1:$B$301,2,FALSE)</f>
        <v>1350</v>
      </c>
      <c r="J87" s="16">
        <f>Tabla1[[#This Row],[Precio unitario]]*Tabla1[[#This Row],[Total disponibles]]</f>
        <v>85050</v>
      </c>
    </row>
    <row r="88" spans="1:10" x14ac:dyDescent="0.25">
      <c r="A88" s="8" t="s">
        <v>96</v>
      </c>
      <c r="B88" s="1">
        <v>3</v>
      </c>
      <c r="C88" s="1">
        <f>Tabla1[[#This Row],[Peso unitario (gr)]]*100</f>
        <v>300</v>
      </c>
      <c r="D88" s="1">
        <v>70</v>
      </c>
      <c r="E88" s="1">
        <v>0</v>
      </c>
      <c r="F88" s="1">
        <f>Tabla1[[#This Row],[Peso unitario (gr)]]*Tabla1[[#This Row],[Entregadas]]</f>
        <v>0</v>
      </c>
      <c r="G88" s="1">
        <f>Tabla1[[#This Row],[Cantidad total (un)]]-Tabla1[[#This Row],[Entregadas]]</f>
        <v>70</v>
      </c>
      <c r="H88" s="11">
        <f>(Tabla1[[#This Row],[Total disponibles]]*Tabla1[[#This Row],[Peso unitario (gr)]])/1000</f>
        <v>0.21</v>
      </c>
      <c r="I88" s="14">
        <f>VLOOKUP(Tabla1[[#This Row],[Referencia]],[1]Hoja1!$A$1:$B$301,2,FALSE)</f>
        <v>300</v>
      </c>
      <c r="J88" s="16">
        <f>Tabla1[[#This Row],[Precio unitario]]*Tabla1[[#This Row],[Total disponibles]]</f>
        <v>21000</v>
      </c>
    </row>
    <row r="89" spans="1:10" x14ac:dyDescent="0.25">
      <c r="A89" s="8" t="s">
        <v>97</v>
      </c>
      <c r="B89" s="1">
        <v>2.8</v>
      </c>
      <c r="C89" s="1">
        <f>Tabla1[[#This Row],[Peso unitario (gr)]]*100</f>
        <v>280</v>
      </c>
      <c r="D89" s="1">
        <v>678</v>
      </c>
      <c r="E89" s="1">
        <v>27</v>
      </c>
      <c r="F89" s="1">
        <f>Tabla1[[#This Row],[Peso unitario (gr)]]*Tabla1[[#This Row],[Entregadas]]</f>
        <v>75.599999999999994</v>
      </c>
      <c r="G89" s="1">
        <f>Tabla1[[#This Row],[Cantidad total (un)]]-Tabla1[[#This Row],[Entregadas]]</f>
        <v>651</v>
      </c>
      <c r="H89" s="11">
        <f>(Tabla1[[#This Row],[Total disponibles]]*Tabla1[[#This Row],[Peso unitario (gr)]])/1000</f>
        <v>1.8228</v>
      </c>
      <c r="I89" s="14">
        <f>VLOOKUP(Tabla1[[#This Row],[Referencia]],[1]Hoja1!$A$1:$B$301,2,FALSE)</f>
        <v>1350</v>
      </c>
      <c r="J89" s="16">
        <f>Tabla1[[#This Row],[Precio unitario]]*Tabla1[[#This Row],[Total disponibles]]</f>
        <v>878850</v>
      </c>
    </row>
    <row r="90" spans="1:10" x14ac:dyDescent="0.25">
      <c r="A90" s="8" t="s">
        <v>98</v>
      </c>
      <c r="B90" s="1">
        <v>4.7</v>
      </c>
      <c r="C90" s="1">
        <f>Tabla1[[#This Row],[Peso unitario (gr)]]*100</f>
        <v>470</v>
      </c>
      <c r="D90" s="1">
        <v>62</v>
      </c>
      <c r="E90" s="1">
        <v>0</v>
      </c>
      <c r="F90" s="1">
        <f>Tabla1[[#This Row],[Peso unitario (gr)]]*Tabla1[[#This Row],[Entregadas]]</f>
        <v>0</v>
      </c>
      <c r="G90" s="1">
        <f>Tabla1[[#This Row],[Cantidad total (un)]]-Tabla1[[#This Row],[Entregadas]]</f>
        <v>62</v>
      </c>
      <c r="H90" s="11">
        <f>(Tabla1[[#This Row],[Total disponibles]]*Tabla1[[#This Row],[Peso unitario (gr)]])/1000</f>
        <v>0.29140000000000005</v>
      </c>
      <c r="I90" s="14">
        <f>VLOOKUP(Tabla1[[#This Row],[Referencia]],[1]Hoja1!$A$1:$B$301,2,FALSE)</f>
        <v>350</v>
      </c>
      <c r="J90" s="16">
        <f>Tabla1[[#This Row],[Precio unitario]]*Tabla1[[#This Row],[Total disponibles]]</f>
        <v>21700</v>
      </c>
    </row>
    <row r="91" spans="1:10" x14ac:dyDescent="0.25">
      <c r="A91" s="8" t="s">
        <v>99</v>
      </c>
      <c r="B91" s="1">
        <v>8.1</v>
      </c>
      <c r="C91" s="1">
        <f>Tabla1[[#This Row],[Peso unitario (gr)]]*100</f>
        <v>810</v>
      </c>
      <c r="D91" s="1">
        <v>173</v>
      </c>
      <c r="E91" s="1">
        <v>0</v>
      </c>
      <c r="F91" s="1">
        <f>Tabla1[[#This Row],[Peso unitario (gr)]]*Tabla1[[#This Row],[Entregadas]]</f>
        <v>0</v>
      </c>
      <c r="G91" s="1">
        <f>Tabla1[[#This Row],[Cantidad total (un)]]-Tabla1[[#This Row],[Entregadas]]</f>
        <v>173</v>
      </c>
      <c r="H91" s="11">
        <f>(Tabla1[[#This Row],[Total disponibles]]*Tabla1[[#This Row],[Peso unitario (gr)]])/1000</f>
        <v>1.4013</v>
      </c>
      <c r="I91" s="14">
        <f>VLOOKUP(Tabla1[[#This Row],[Referencia]],[1]Hoja1!$A$1:$B$301,2,FALSE)</f>
        <v>300</v>
      </c>
      <c r="J91" s="16">
        <f>Tabla1[[#This Row],[Precio unitario]]*Tabla1[[#This Row],[Total disponibles]]</f>
        <v>51900</v>
      </c>
    </row>
    <row r="92" spans="1:10" x14ac:dyDescent="0.25">
      <c r="A92" s="8" t="s">
        <v>100</v>
      </c>
      <c r="B92" s="1">
        <v>18</v>
      </c>
      <c r="C92" s="1">
        <f>Tabla1[[#This Row],[Peso unitario (gr)]]*100</f>
        <v>1800</v>
      </c>
      <c r="D92" s="1">
        <v>120</v>
      </c>
      <c r="E92" s="1">
        <v>120</v>
      </c>
      <c r="F92" s="1">
        <f>Tabla1[[#This Row],[Peso unitario (gr)]]*Tabla1[[#This Row],[Entregadas]]</f>
        <v>2160</v>
      </c>
      <c r="G92" s="1">
        <f>Tabla1[[#This Row],[Cantidad total (un)]]-Tabla1[[#This Row],[Entregadas]]</f>
        <v>0</v>
      </c>
      <c r="H92" s="11">
        <f>(Tabla1[[#This Row],[Total disponibles]]*Tabla1[[#This Row],[Peso unitario (gr)]])/1000</f>
        <v>0</v>
      </c>
      <c r="I92" s="14">
        <f>VLOOKUP(Tabla1[[#This Row],[Referencia]],[1]Hoja1!$A$1:$B$301,2,FALSE)</f>
        <v>650</v>
      </c>
      <c r="J92" s="16">
        <f>Tabla1[[#This Row],[Precio unitario]]*Tabla1[[#This Row],[Total disponibles]]</f>
        <v>0</v>
      </c>
    </row>
    <row r="93" spans="1:10" x14ac:dyDescent="0.25">
      <c r="A93" s="8" t="s">
        <v>101</v>
      </c>
      <c r="B93" s="1">
        <v>20.5</v>
      </c>
      <c r="C93" s="1">
        <f>Tabla1[[#This Row],[Peso unitario (gr)]]*100</f>
        <v>2050</v>
      </c>
      <c r="D93" s="1">
        <f>13+100</f>
        <v>113</v>
      </c>
      <c r="E93" s="1">
        <v>0</v>
      </c>
      <c r="F93" s="1">
        <f>Tabla1[[#This Row],[Peso unitario (gr)]]*Tabla1[[#This Row],[Entregadas]]</f>
        <v>0</v>
      </c>
      <c r="G93" s="1">
        <f>Tabla1[[#This Row],[Cantidad total (un)]]-Tabla1[[#This Row],[Entregadas]]</f>
        <v>113</v>
      </c>
      <c r="H93" s="11">
        <f>(Tabla1[[#This Row],[Total disponibles]]*Tabla1[[#This Row],[Peso unitario (gr)]])/1000</f>
        <v>2.3165</v>
      </c>
      <c r="I93" s="14">
        <f>VLOOKUP(Tabla1[[#This Row],[Referencia]],[1]Hoja1!$A$1:$B$301,2,FALSE)</f>
        <v>900</v>
      </c>
      <c r="J93" s="16">
        <f>Tabla1[[#This Row],[Precio unitario]]*Tabla1[[#This Row],[Total disponibles]]</f>
        <v>101700</v>
      </c>
    </row>
    <row r="94" spans="1:10" x14ac:dyDescent="0.25">
      <c r="A94" s="8" t="s">
        <v>102</v>
      </c>
      <c r="B94" s="1">
        <v>0</v>
      </c>
      <c r="C94" s="1">
        <v>0</v>
      </c>
      <c r="D94" s="1">
        <v>100</v>
      </c>
      <c r="E94" s="1">
        <v>0</v>
      </c>
      <c r="F94" s="1">
        <f>Tabla1[[#This Row],[Peso unitario (gr)]]*Tabla1[[#This Row],[Entregadas]]</f>
        <v>0</v>
      </c>
      <c r="G94" s="1">
        <f>Tabla1[[#This Row],[Cantidad total (un)]]-Tabla1[[#This Row],[Entregadas]]</f>
        <v>100</v>
      </c>
      <c r="H94" s="11">
        <f>(Tabla1[[#This Row],[Total disponibles]]*Tabla1[[#This Row],[Peso unitario (gr)]])/1000</f>
        <v>0</v>
      </c>
      <c r="I94" s="14">
        <f>VLOOKUP(Tabla1[[#This Row],[Referencia]],[1]Hoja1!$A$1:$B$301,2,FALSE)</f>
        <v>350</v>
      </c>
      <c r="J94" s="16">
        <f>Tabla1[[#This Row],[Precio unitario]]*Tabla1[[#This Row],[Total disponibles]]</f>
        <v>35000</v>
      </c>
    </row>
    <row r="95" spans="1:10" x14ac:dyDescent="0.25">
      <c r="A95" s="8" t="s">
        <v>103</v>
      </c>
      <c r="B95" s="1">
        <v>0</v>
      </c>
      <c r="C95" s="1">
        <v>0</v>
      </c>
      <c r="D95" s="1">
        <v>100</v>
      </c>
      <c r="E95" s="1">
        <v>0</v>
      </c>
      <c r="F95" s="1">
        <f>Tabla1[[#This Row],[Peso unitario (gr)]]*Tabla1[[#This Row],[Entregadas]]</f>
        <v>0</v>
      </c>
      <c r="G95" s="1">
        <f>Tabla1[[#This Row],[Cantidad total (un)]]-Tabla1[[#This Row],[Entregadas]]</f>
        <v>100</v>
      </c>
      <c r="H95" s="11">
        <f>(Tabla1[[#This Row],[Total disponibles]]*Tabla1[[#This Row],[Peso unitario (gr)]])/1000</f>
        <v>0</v>
      </c>
      <c r="I95" s="14">
        <f>VLOOKUP(Tabla1[[#This Row],[Referencia]],[1]Hoja1!$A$1:$B$301,2,FALSE)</f>
        <v>450</v>
      </c>
      <c r="J95" s="16">
        <f>Tabla1[[#This Row],[Precio unitario]]*Tabla1[[#This Row],[Total disponibles]]</f>
        <v>45000</v>
      </c>
    </row>
    <row r="96" spans="1:10" x14ac:dyDescent="0.25">
      <c r="A96" s="8" t="s">
        <v>104</v>
      </c>
      <c r="B96" s="1">
        <v>0</v>
      </c>
      <c r="C96" s="1">
        <f>Tabla1[[#This Row],[Peso unitario (gr)]]*100</f>
        <v>0</v>
      </c>
      <c r="D96" s="1">
        <v>100</v>
      </c>
      <c r="E96" s="1">
        <v>0</v>
      </c>
      <c r="F96" s="1">
        <f>Tabla1[[#This Row],[Peso unitario (gr)]]*Tabla1[[#This Row],[Entregadas]]</f>
        <v>0</v>
      </c>
      <c r="G96" s="1">
        <f>Tabla1[[#This Row],[Cantidad total (un)]]-Tabla1[[#This Row],[Entregadas]]</f>
        <v>100</v>
      </c>
      <c r="H96" s="11">
        <f>(Tabla1[[#This Row],[Total disponibles]]*Tabla1[[#This Row],[Peso unitario (gr)]])/1000</f>
        <v>0</v>
      </c>
      <c r="I96" s="14">
        <f>VLOOKUP(Tabla1[[#This Row],[Referencia]],[1]Hoja1!$A$1:$B$301,2,FALSE)</f>
        <v>1350</v>
      </c>
      <c r="J96" s="16">
        <f>Tabla1[[#This Row],[Precio unitario]]*Tabla1[[#This Row],[Total disponibles]]</f>
        <v>135000</v>
      </c>
    </row>
    <row r="97" spans="1:10" x14ac:dyDescent="0.25">
      <c r="A97" s="8" t="s">
        <v>105</v>
      </c>
      <c r="B97" s="1">
        <v>0</v>
      </c>
      <c r="C97" s="1">
        <f>Tabla1[[#This Row],[Peso unitario (gr)]]*100</f>
        <v>0</v>
      </c>
      <c r="D97" s="1">
        <v>0</v>
      </c>
      <c r="E97" s="1">
        <v>0</v>
      </c>
      <c r="F97" s="1">
        <f>Tabla1[[#This Row],[Peso unitario (gr)]]*Tabla1[[#This Row],[Entregadas]]</f>
        <v>0</v>
      </c>
      <c r="G97" s="1">
        <f>Tabla1[[#This Row],[Cantidad total (un)]]-Tabla1[[#This Row],[Entregadas]]</f>
        <v>0</v>
      </c>
      <c r="H97" s="11">
        <f>(Tabla1[[#This Row],[Total disponibles]]*Tabla1[[#This Row],[Peso unitario (gr)]])/1000</f>
        <v>0</v>
      </c>
      <c r="I97" s="14">
        <f>VLOOKUP(Tabla1[[#This Row],[Referencia]],[1]Hoja1!$A$1:$B$301,2,FALSE)</f>
        <v>22000</v>
      </c>
      <c r="J97" s="16">
        <f>Tabla1[[#This Row],[Precio unitario]]*Tabla1[[#This Row],[Total disponibles]]</f>
        <v>0</v>
      </c>
    </row>
    <row r="98" spans="1:10" x14ac:dyDescent="0.25">
      <c r="A98" s="8" t="s">
        <v>106</v>
      </c>
      <c r="B98" s="1">
        <v>0</v>
      </c>
      <c r="C98" s="1">
        <f>Tabla1[[#This Row],[Peso unitario (gr)]]*100</f>
        <v>0</v>
      </c>
      <c r="D98" s="1">
        <v>55</v>
      </c>
      <c r="E98" s="1">
        <v>0</v>
      </c>
      <c r="F98" s="1">
        <f>Tabla1[[#This Row],[Peso unitario (gr)]]*Tabla1[[#This Row],[Entregadas]]</f>
        <v>0</v>
      </c>
      <c r="G98" s="1">
        <f>Tabla1[[#This Row],[Cantidad total (un)]]-Tabla1[[#This Row],[Entregadas]]</f>
        <v>55</v>
      </c>
      <c r="H98" s="11">
        <f>(Tabla1[[#This Row],[Total disponibles]]*Tabla1[[#This Row],[Peso unitario (gr)]])/1000</f>
        <v>0</v>
      </c>
      <c r="I98" s="14">
        <f>VLOOKUP(Tabla1[[#This Row],[Referencia]],[1]Hoja1!$A$1:$B$301,2,FALSE)</f>
        <v>29000</v>
      </c>
      <c r="J98" s="16">
        <f>Tabla1[[#This Row],[Precio unitario]]*Tabla1[[#This Row],[Total disponibles]]</f>
        <v>1595000</v>
      </c>
    </row>
    <row r="99" spans="1:10" x14ac:dyDescent="0.25">
      <c r="A99" s="8" t="s">
        <v>107</v>
      </c>
      <c r="B99" s="1">
        <v>0</v>
      </c>
      <c r="C99" s="1">
        <f>Tabla1[[#This Row],[Peso unitario (gr)]]*100</f>
        <v>0</v>
      </c>
      <c r="D99" s="1">
        <v>0</v>
      </c>
      <c r="E99" s="1">
        <v>0</v>
      </c>
      <c r="F99" s="1">
        <f>Tabla1[[#This Row],[Peso unitario (gr)]]*Tabla1[[#This Row],[Entregadas]]</f>
        <v>0</v>
      </c>
      <c r="G99" s="1">
        <f>Tabla1[[#This Row],[Cantidad total (un)]]-Tabla1[[#This Row],[Entregadas]]</f>
        <v>0</v>
      </c>
      <c r="H99" s="11">
        <f>(Tabla1[[#This Row],[Total disponibles]]*Tabla1[[#This Row],[Peso unitario (gr)]])/1000</f>
        <v>0</v>
      </c>
      <c r="I99" s="14">
        <f>VLOOKUP(Tabla1[[#This Row],[Referencia]],[1]Hoja1!$A$1:$B$301,2,FALSE)</f>
        <v>2500</v>
      </c>
      <c r="J99" s="16">
        <f>Tabla1[[#This Row],[Precio unitario]]*Tabla1[[#This Row],[Total disponibles]]</f>
        <v>0</v>
      </c>
    </row>
    <row r="100" spans="1:10" x14ac:dyDescent="0.25">
      <c r="A100" s="8" t="s">
        <v>108</v>
      </c>
      <c r="B100" s="1">
        <v>0</v>
      </c>
      <c r="C100" s="1">
        <f>Tabla1[[#This Row],[Peso unitario (gr)]]*100</f>
        <v>0</v>
      </c>
      <c r="D100" s="1">
        <v>0</v>
      </c>
      <c r="E100" s="1">
        <v>0</v>
      </c>
      <c r="F100" s="1">
        <f>Tabla1[[#This Row],[Peso unitario (gr)]]*Tabla1[[#This Row],[Entregadas]]</f>
        <v>0</v>
      </c>
      <c r="G100" s="1">
        <f>Tabla1[[#This Row],[Cantidad total (un)]]-Tabla1[[#This Row],[Entregadas]]</f>
        <v>0</v>
      </c>
      <c r="H100" s="11">
        <f>(Tabla1[[#This Row],[Total disponibles]]*Tabla1[[#This Row],[Peso unitario (gr)]])/1000</f>
        <v>0</v>
      </c>
      <c r="I100" s="14">
        <f>VLOOKUP(Tabla1[[#This Row],[Referencia]],[1]Hoja1!$A$1:$B$301,2,FALSE)</f>
        <v>19000</v>
      </c>
      <c r="J100" s="16">
        <f>Tabla1[[#This Row],[Precio unitario]]*Tabla1[[#This Row],[Total disponibles]]</f>
        <v>0</v>
      </c>
    </row>
    <row r="101" spans="1:10" x14ac:dyDescent="0.25">
      <c r="A101" s="8" t="s">
        <v>109</v>
      </c>
      <c r="B101" s="1">
        <v>1.8</v>
      </c>
      <c r="C101" s="1">
        <f>Tabla1[[#This Row],[Peso unitario (gr)]]*100</f>
        <v>180</v>
      </c>
      <c r="D101" s="1">
        <f>624+36</f>
        <v>660</v>
      </c>
      <c r="E101" s="1">
        <v>0</v>
      </c>
      <c r="F101" s="1">
        <f>Tabla1[[#This Row],[Peso unitario (gr)]]*Tabla1[[#This Row],[Entregadas]]</f>
        <v>0</v>
      </c>
      <c r="G101" s="1">
        <f>Tabla1[[#This Row],[Cantidad total (un)]]-Tabla1[[#This Row],[Entregadas]]</f>
        <v>660</v>
      </c>
      <c r="H101" s="11">
        <f>(Tabla1[[#This Row],[Total disponibles]]*Tabla1[[#This Row],[Peso unitario (gr)]])/1000</f>
        <v>1.1879999999999999</v>
      </c>
      <c r="I101" s="14">
        <f>VLOOKUP(Tabla1[[#This Row],[Referencia]],[1]Hoja1!$A$1:$B$301,2,FALSE)</f>
        <v>1000</v>
      </c>
      <c r="J101" s="16">
        <f>Tabla1[[#This Row],[Precio unitario]]*Tabla1[[#This Row],[Total disponibles]]</f>
        <v>660000</v>
      </c>
    </row>
    <row r="102" spans="1:10" x14ac:dyDescent="0.25">
      <c r="A102" s="8" t="s">
        <v>110</v>
      </c>
      <c r="B102" s="1">
        <v>0</v>
      </c>
      <c r="C102" s="1">
        <v>0</v>
      </c>
      <c r="D102" s="1">
        <v>0</v>
      </c>
      <c r="E102" s="1">
        <v>0</v>
      </c>
      <c r="F102" s="1">
        <f>Tabla1[[#This Row],[Peso unitario (gr)]]*Tabla1[[#This Row],[Entregadas]]</f>
        <v>0</v>
      </c>
      <c r="G102" s="1">
        <f>Tabla1[[#This Row],[Cantidad total (un)]]-Tabla1[[#This Row],[Entregadas]]</f>
        <v>0</v>
      </c>
      <c r="H102" s="11">
        <f>(Tabla1[[#This Row],[Total disponibles]]*Tabla1[[#This Row],[Peso unitario (gr)]])/1000</f>
        <v>0</v>
      </c>
      <c r="I102" s="14">
        <f>VLOOKUP(Tabla1[[#This Row],[Referencia]],[1]Hoja1!$A$1:$B$301,2,FALSE)</f>
        <v>1850</v>
      </c>
      <c r="J102" s="16">
        <f>Tabla1[[#This Row],[Precio unitario]]*Tabla1[[#This Row],[Total disponibles]]</f>
        <v>0</v>
      </c>
    </row>
    <row r="103" spans="1:10" x14ac:dyDescent="0.25">
      <c r="A103" s="8" t="s">
        <v>111</v>
      </c>
      <c r="B103" s="1">
        <v>1.2</v>
      </c>
      <c r="C103" s="1">
        <f>Tabla1[[#This Row],[Peso unitario (gr)]]*100</f>
        <v>120</v>
      </c>
      <c r="D103" s="1">
        <v>544</v>
      </c>
      <c r="E103" s="1">
        <v>0</v>
      </c>
      <c r="F103" s="1">
        <f>Tabla1[[#This Row],[Peso unitario (gr)]]*Tabla1[[#This Row],[Entregadas]]</f>
        <v>0</v>
      </c>
      <c r="G103" s="1">
        <f>Tabla1[[#This Row],[Cantidad total (un)]]-Tabla1[[#This Row],[Entregadas]]</f>
        <v>544</v>
      </c>
      <c r="H103" s="11">
        <f>(Tabla1[[#This Row],[Total disponibles]]*Tabla1[[#This Row],[Peso unitario (gr)]])/1000</f>
        <v>0.65279999999999994</v>
      </c>
      <c r="I103" s="14">
        <f>VLOOKUP(Tabla1[[#This Row],[Referencia]],[1]Hoja1!$A$1:$B$301,2,FALSE)</f>
        <v>250</v>
      </c>
      <c r="J103" s="16">
        <f>Tabla1[[#This Row],[Precio unitario]]*Tabla1[[#This Row],[Total disponibles]]</f>
        <v>136000</v>
      </c>
    </row>
    <row r="104" spans="1:10" x14ac:dyDescent="0.25">
      <c r="A104" s="8" t="s">
        <v>112</v>
      </c>
      <c r="B104" s="1">
        <v>28.8</v>
      </c>
      <c r="C104" s="1">
        <f>Tabla1[[#This Row],[Peso unitario (gr)]]*100</f>
        <v>2880</v>
      </c>
      <c r="D104" s="1">
        <v>44</v>
      </c>
      <c r="E104" s="1">
        <v>0</v>
      </c>
      <c r="F104" s="1">
        <f>Tabla1[[#This Row],[Peso unitario (gr)]]*Tabla1[[#This Row],[Entregadas]]</f>
        <v>0</v>
      </c>
      <c r="G104" s="1">
        <f>Tabla1[[#This Row],[Cantidad total (un)]]-Tabla1[[#This Row],[Entregadas]]</f>
        <v>44</v>
      </c>
      <c r="H104" s="11">
        <f>(Tabla1[[#This Row],[Total disponibles]]*Tabla1[[#This Row],[Peso unitario (gr)]])/1000</f>
        <v>1.2672000000000001</v>
      </c>
      <c r="I104" s="14">
        <f>VLOOKUP(Tabla1[[#This Row],[Referencia]],[1]Hoja1!$A$1:$B$301,2,FALSE)</f>
        <v>700</v>
      </c>
      <c r="J104" s="16">
        <f>Tabla1[[#This Row],[Precio unitario]]*Tabla1[[#This Row],[Total disponibles]]</f>
        <v>30800</v>
      </c>
    </row>
    <row r="105" spans="1:10" x14ac:dyDescent="0.25">
      <c r="A105" s="8" t="s">
        <v>113</v>
      </c>
      <c r="B105" s="1">
        <v>0</v>
      </c>
      <c r="C105" s="1">
        <v>0</v>
      </c>
      <c r="D105" s="1">
        <v>0</v>
      </c>
      <c r="E105" s="1">
        <v>0</v>
      </c>
      <c r="F105" s="1">
        <f>Tabla1[[#This Row],[Peso unitario (gr)]]*Tabla1[[#This Row],[Entregadas]]</f>
        <v>0</v>
      </c>
      <c r="G105" s="1">
        <f>Tabla1[[#This Row],[Cantidad total (un)]]-Tabla1[[#This Row],[Entregadas]]</f>
        <v>0</v>
      </c>
      <c r="H105" s="11">
        <f>(Tabla1[[#This Row],[Total disponibles]]*Tabla1[[#This Row],[Peso unitario (gr)]])/1000</f>
        <v>0</v>
      </c>
      <c r="I105" s="14">
        <f>VLOOKUP(Tabla1[[#This Row],[Referencia]],[1]Hoja1!$A$1:$B$301,2,FALSE)</f>
        <v>400</v>
      </c>
      <c r="J105" s="16">
        <f>Tabla1[[#This Row],[Precio unitario]]*Tabla1[[#This Row],[Total disponibles]]</f>
        <v>0</v>
      </c>
    </row>
    <row r="106" spans="1:10" x14ac:dyDescent="0.25">
      <c r="A106" s="8" t="s">
        <v>114</v>
      </c>
      <c r="B106" s="1">
        <v>0.1</v>
      </c>
      <c r="C106" s="1">
        <f>Tabla1[[#This Row],[Peso unitario (gr)]]*100</f>
        <v>10</v>
      </c>
      <c r="D106" s="1">
        <v>43</v>
      </c>
      <c r="E106" s="1">
        <v>0</v>
      </c>
      <c r="F106" s="1">
        <f>Tabla1[[#This Row],[Peso unitario (gr)]]*Tabla1[[#This Row],[Entregadas]]</f>
        <v>0</v>
      </c>
      <c r="G106" s="1">
        <f>Tabla1[[#This Row],[Cantidad total (un)]]-Tabla1[[#This Row],[Entregadas]]</f>
        <v>43</v>
      </c>
      <c r="H106" s="11">
        <f>(Tabla1[[#This Row],[Total disponibles]]*Tabla1[[#This Row],[Peso unitario (gr)]])/1000</f>
        <v>4.3E-3</v>
      </c>
      <c r="I106" s="14">
        <f>VLOOKUP(Tabla1[[#This Row],[Referencia]],[1]Hoja1!$A$1:$B$301,2,FALSE)</f>
        <v>150</v>
      </c>
      <c r="J106" s="16">
        <f>Tabla1[[#This Row],[Precio unitario]]*Tabla1[[#This Row],[Total disponibles]]</f>
        <v>6450</v>
      </c>
    </row>
    <row r="107" spans="1:10" x14ac:dyDescent="0.25">
      <c r="A107" s="8" t="s">
        <v>115</v>
      </c>
      <c r="B107" s="1">
        <v>7</v>
      </c>
      <c r="C107" s="1">
        <f>Tabla1[[#This Row],[Peso unitario (gr)]]*100</f>
        <v>700</v>
      </c>
      <c r="D107" s="1">
        <v>127</v>
      </c>
      <c r="E107" s="1">
        <v>0</v>
      </c>
      <c r="F107" s="1">
        <f>Tabla1[[#This Row],[Peso unitario (gr)]]*Tabla1[[#This Row],[Entregadas]]</f>
        <v>0</v>
      </c>
      <c r="G107" s="1">
        <f>Tabla1[[#This Row],[Cantidad total (un)]]-Tabla1[[#This Row],[Entregadas]]</f>
        <v>127</v>
      </c>
      <c r="H107" s="11">
        <f>(Tabla1[[#This Row],[Total disponibles]]*Tabla1[[#This Row],[Peso unitario (gr)]])/1000</f>
        <v>0.88900000000000001</v>
      </c>
      <c r="I107" s="14">
        <f>VLOOKUP(Tabla1[[#This Row],[Referencia]],[1]Hoja1!$A$1:$B$301,2,FALSE)</f>
        <v>350</v>
      </c>
      <c r="J107" s="16">
        <f>Tabla1[[#This Row],[Precio unitario]]*Tabla1[[#This Row],[Total disponibles]]</f>
        <v>44450</v>
      </c>
    </row>
    <row r="108" spans="1:10" x14ac:dyDescent="0.25">
      <c r="A108" s="8" t="s">
        <v>116</v>
      </c>
      <c r="B108" s="1">
        <v>2.6</v>
      </c>
      <c r="C108" s="1">
        <f>Tabla1[[#This Row],[Peso unitario (gr)]]*100</f>
        <v>260</v>
      </c>
      <c r="D108" s="1">
        <v>345</v>
      </c>
      <c r="E108" s="1">
        <v>1</v>
      </c>
      <c r="F108" s="1">
        <f>Tabla1[[#This Row],[Peso unitario (gr)]]*Tabla1[[#This Row],[Entregadas]]</f>
        <v>2.6</v>
      </c>
      <c r="G108" s="1">
        <f>Tabla1[[#This Row],[Cantidad total (un)]]-Tabla1[[#This Row],[Entregadas]]</f>
        <v>344</v>
      </c>
      <c r="H108" s="11">
        <f>(Tabla1[[#This Row],[Total disponibles]]*Tabla1[[#This Row],[Peso unitario (gr)]])/1000</f>
        <v>0.89439999999999997</v>
      </c>
      <c r="I108" s="14">
        <f>VLOOKUP(Tabla1[[#This Row],[Referencia]],[1]Hoja1!$A$1:$B$301,2,FALSE)</f>
        <v>750</v>
      </c>
      <c r="J108" s="16">
        <f>Tabla1[[#This Row],[Precio unitario]]*Tabla1[[#This Row],[Total disponibles]]</f>
        <v>258000</v>
      </c>
    </row>
    <row r="109" spans="1:10" x14ac:dyDescent="0.25">
      <c r="A109" s="8" t="s">
        <v>117</v>
      </c>
      <c r="B109" s="1">
        <v>8.1</v>
      </c>
      <c r="C109" s="1">
        <f>Tabla1[[#This Row],[Peso unitario (gr)]]*100</f>
        <v>810</v>
      </c>
      <c r="D109" s="1">
        <v>96</v>
      </c>
      <c r="E109" s="1">
        <v>0</v>
      </c>
      <c r="F109" s="1">
        <f>Tabla1[[#This Row],[Peso unitario (gr)]]*Tabla1[[#This Row],[Entregadas]]</f>
        <v>0</v>
      </c>
      <c r="G109" s="1">
        <f>Tabla1[[#This Row],[Cantidad total (un)]]-Tabla1[[#This Row],[Entregadas]]</f>
        <v>96</v>
      </c>
      <c r="H109" s="11">
        <f>(Tabla1[[#This Row],[Total disponibles]]*Tabla1[[#This Row],[Peso unitario (gr)]])/1000</f>
        <v>0.77759999999999996</v>
      </c>
      <c r="I109" s="14">
        <f>VLOOKUP(Tabla1[[#This Row],[Referencia]],[1]Hoja1!$A$1:$B$301,2,FALSE)</f>
        <v>260</v>
      </c>
      <c r="J109" s="16">
        <f>Tabla1[[#This Row],[Precio unitario]]*Tabla1[[#This Row],[Total disponibles]]</f>
        <v>24960</v>
      </c>
    </row>
    <row r="110" spans="1:10" x14ac:dyDescent="0.25">
      <c r="A110" s="8" t="s">
        <v>118</v>
      </c>
      <c r="B110" s="1">
        <v>20.8</v>
      </c>
      <c r="C110" s="1">
        <f>Tabla1[[#This Row],[Peso unitario (gr)]]*100</f>
        <v>2080</v>
      </c>
      <c r="D110" s="1">
        <v>66</v>
      </c>
      <c r="E110" s="1">
        <v>0</v>
      </c>
      <c r="F110" s="1">
        <f>Tabla1[[#This Row],[Peso unitario (gr)]]*Tabla1[[#This Row],[Entregadas]]</f>
        <v>0</v>
      </c>
      <c r="G110" s="1">
        <f>Tabla1[[#This Row],[Cantidad total (un)]]-Tabla1[[#This Row],[Entregadas]]</f>
        <v>66</v>
      </c>
      <c r="H110" s="11">
        <f>(Tabla1[[#This Row],[Total disponibles]]*Tabla1[[#This Row],[Peso unitario (gr)]])/1000</f>
        <v>1.3728</v>
      </c>
      <c r="I110" s="14">
        <f>VLOOKUP(Tabla1[[#This Row],[Referencia]],[1]Hoja1!$A$1:$B$301,2,FALSE)</f>
        <v>6118</v>
      </c>
      <c r="J110" s="16">
        <f>Tabla1[[#This Row],[Precio unitario]]*Tabla1[[#This Row],[Total disponibles]]</f>
        <v>403788</v>
      </c>
    </row>
    <row r="111" spans="1:10" x14ac:dyDescent="0.25">
      <c r="A111" s="8" t="s">
        <v>119</v>
      </c>
      <c r="B111" s="1">
        <v>8</v>
      </c>
      <c r="C111" s="1">
        <f>Tabla1[[#This Row],[Peso unitario (gr)]]*100</f>
        <v>800</v>
      </c>
      <c r="D111" s="1">
        <f>245</f>
        <v>245</v>
      </c>
      <c r="E111" s="1">
        <v>0</v>
      </c>
      <c r="F111" s="1">
        <f>Tabla1[[#This Row],[Peso unitario (gr)]]*Tabla1[[#This Row],[Entregadas]]</f>
        <v>0</v>
      </c>
      <c r="G111" s="1">
        <f>Tabla1[[#This Row],[Cantidad total (un)]]-Tabla1[[#This Row],[Entregadas]]</f>
        <v>245</v>
      </c>
      <c r="H111" s="11">
        <f>(Tabla1[[#This Row],[Total disponibles]]*Tabla1[[#This Row],[Peso unitario (gr)]])/1000</f>
        <v>1.96</v>
      </c>
      <c r="I111" s="14">
        <f>VLOOKUP(Tabla1[[#This Row],[Referencia]],[1]Hoja1!$A$1:$B$301,2,FALSE)</f>
        <v>700</v>
      </c>
      <c r="J111" s="16">
        <f>Tabla1[[#This Row],[Precio unitario]]*Tabla1[[#This Row],[Total disponibles]]</f>
        <v>171500</v>
      </c>
    </row>
    <row r="112" spans="1:10" x14ac:dyDescent="0.25">
      <c r="A112" s="8" t="s">
        <v>120</v>
      </c>
      <c r="B112" s="1">
        <v>24.4</v>
      </c>
      <c r="C112" s="1">
        <f>Tabla1[[#This Row],[Peso unitario (gr)]]*100</f>
        <v>2440</v>
      </c>
      <c r="D112" s="1">
        <v>297</v>
      </c>
      <c r="E112" s="1">
        <v>0</v>
      </c>
      <c r="F112" s="1">
        <f>Tabla1[[#This Row],[Peso unitario (gr)]]*Tabla1[[#This Row],[Entregadas]]</f>
        <v>0</v>
      </c>
      <c r="G112" s="1">
        <f>Tabla1[[#This Row],[Cantidad total (un)]]-Tabla1[[#This Row],[Entregadas]]</f>
        <v>297</v>
      </c>
      <c r="H112" s="11">
        <f>(Tabla1[[#This Row],[Total disponibles]]*Tabla1[[#This Row],[Peso unitario (gr)]])/1000</f>
        <v>7.2467999999999995</v>
      </c>
      <c r="I112" s="14">
        <f>VLOOKUP(Tabla1[[#This Row],[Referencia]],[1]Hoja1!$A$1:$B$301,2,FALSE)</f>
        <v>769</v>
      </c>
      <c r="J112" s="16">
        <f>Tabla1[[#This Row],[Precio unitario]]*Tabla1[[#This Row],[Total disponibles]]</f>
        <v>228393</v>
      </c>
    </row>
    <row r="113" spans="1:10" x14ac:dyDescent="0.25">
      <c r="A113" s="8" t="s">
        <v>121</v>
      </c>
      <c r="B113" s="1">
        <v>10</v>
      </c>
      <c r="C113" s="1">
        <f>Tabla1[[#This Row],[Peso unitario (gr)]]*100</f>
        <v>1000</v>
      </c>
      <c r="D113" s="1">
        <v>21</v>
      </c>
      <c r="E113" s="1">
        <v>0</v>
      </c>
      <c r="F113" s="1">
        <f>Tabla1[[#This Row],[Peso unitario (gr)]]*Tabla1[[#This Row],[Entregadas]]</f>
        <v>0</v>
      </c>
      <c r="G113" s="1">
        <f>Tabla1[[#This Row],[Cantidad total (un)]]-Tabla1[[#This Row],[Entregadas]]</f>
        <v>21</v>
      </c>
      <c r="H113" s="11">
        <f>(Tabla1[[#This Row],[Total disponibles]]*Tabla1[[#This Row],[Peso unitario (gr)]])/1000</f>
        <v>0.21</v>
      </c>
      <c r="I113" s="14">
        <f>VLOOKUP(Tabla1[[#This Row],[Referencia]],[1]Hoja1!$A$1:$B$301,2,FALSE)</f>
        <v>1800</v>
      </c>
      <c r="J113" s="16">
        <f>Tabla1[[#This Row],[Precio unitario]]*Tabla1[[#This Row],[Total disponibles]]</f>
        <v>37800</v>
      </c>
    </row>
    <row r="114" spans="1:10" x14ac:dyDescent="0.25">
      <c r="A114" s="8" t="s">
        <v>122</v>
      </c>
      <c r="B114" s="1">
        <v>10</v>
      </c>
      <c r="C114" s="1">
        <f>Tabla1[[#This Row],[Peso unitario (gr)]]*100</f>
        <v>1000</v>
      </c>
      <c r="D114" s="1">
        <v>25</v>
      </c>
      <c r="E114" s="1">
        <v>0</v>
      </c>
      <c r="F114" s="1">
        <f>Tabla1[[#This Row],[Peso unitario (gr)]]*Tabla1[[#This Row],[Entregadas]]</f>
        <v>0</v>
      </c>
      <c r="G114" s="1">
        <f>Tabla1[[#This Row],[Cantidad total (un)]]-Tabla1[[#This Row],[Entregadas]]</f>
        <v>25</v>
      </c>
      <c r="H114" s="11">
        <f>(Tabla1[[#This Row],[Total disponibles]]*Tabla1[[#This Row],[Peso unitario (gr)]])/1000</f>
        <v>0.25</v>
      </c>
      <c r="I114" s="14">
        <f>VLOOKUP(Tabla1[[#This Row],[Referencia]],[1]Hoja1!$A$1:$B$301,2,FALSE)</f>
        <v>1600</v>
      </c>
      <c r="J114" s="16">
        <f>Tabla1[[#This Row],[Precio unitario]]*Tabla1[[#This Row],[Total disponibles]]</f>
        <v>40000</v>
      </c>
    </row>
    <row r="115" spans="1:10" x14ac:dyDescent="0.25">
      <c r="A115" s="8" t="s">
        <v>123</v>
      </c>
      <c r="B115" s="1">
        <v>6.3</v>
      </c>
      <c r="C115" s="1">
        <f>Tabla1[[#This Row],[Peso unitario (gr)]]*100</f>
        <v>630</v>
      </c>
      <c r="D115" s="1">
        <v>58</v>
      </c>
      <c r="E115" s="1">
        <v>0</v>
      </c>
      <c r="F115" s="1">
        <f>Tabla1[[#This Row],[Peso unitario (gr)]]*Tabla1[[#This Row],[Entregadas]]</f>
        <v>0</v>
      </c>
      <c r="G115" s="1">
        <f>Tabla1[[#This Row],[Cantidad total (un)]]-Tabla1[[#This Row],[Entregadas]]</f>
        <v>58</v>
      </c>
      <c r="H115" s="11">
        <f>(Tabla1[[#This Row],[Total disponibles]]*Tabla1[[#This Row],[Peso unitario (gr)]])/1000</f>
        <v>0.3654</v>
      </c>
      <c r="I115" s="14">
        <f>VLOOKUP(Tabla1[[#This Row],[Referencia]],[1]Hoja1!$A$1:$B$301,2,FALSE)</f>
        <v>1050</v>
      </c>
      <c r="J115" s="16">
        <f>Tabla1[[#This Row],[Precio unitario]]*Tabla1[[#This Row],[Total disponibles]]</f>
        <v>60900</v>
      </c>
    </row>
    <row r="116" spans="1:10" x14ac:dyDescent="0.25">
      <c r="A116" s="8" t="s">
        <v>124</v>
      </c>
      <c r="B116" s="1">
        <v>33.4</v>
      </c>
      <c r="C116" s="1">
        <f>Tabla1[[#This Row],[Peso unitario (gr)]]*100</f>
        <v>3340</v>
      </c>
      <c r="D116" s="1">
        <v>21</v>
      </c>
      <c r="E116" s="1">
        <v>0</v>
      </c>
      <c r="F116" s="1">
        <f>Tabla1[[#This Row],[Peso unitario (gr)]]*Tabla1[[#This Row],[Entregadas]]</f>
        <v>0</v>
      </c>
      <c r="G116" s="1">
        <f>Tabla1[[#This Row],[Cantidad total (un)]]-Tabla1[[#This Row],[Entregadas]]</f>
        <v>21</v>
      </c>
      <c r="H116" s="11">
        <f>(Tabla1[[#This Row],[Total disponibles]]*Tabla1[[#This Row],[Peso unitario (gr)]])/1000</f>
        <v>0.70140000000000002</v>
      </c>
      <c r="I116" s="14">
        <f>VLOOKUP(Tabla1[[#This Row],[Referencia]],[1]Hoja1!$A$1:$B$301,2,FALSE)</f>
        <v>800</v>
      </c>
      <c r="J116" s="16">
        <f>Tabla1[[#This Row],[Precio unitario]]*Tabla1[[#This Row],[Total disponibles]]</f>
        <v>16800</v>
      </c>
    </row>
    <row r="117" spans="1:10" x14ac:dyDescent="0.25">
      <c r="A117" s="8" t="s">
        <v>125</v>
      </c>
      <c r="B117" s="1">
        <v>40</v>
      </c>
      <c r="C117" s="1">
        <f>Tabla1[[#This Row],[Peso unitario (gr)]]*100</f>
        <v>4000</v>
      </c>
      <c r="D117" s="1">
        <f>300+300</f>
        <v>600</v>
      </c>
      <c r="E117" s="1">
        <f>200+1</f>
        <v>201</v>
      </c>
      <c r="F117" s="1">
        <f>Tabla1[[#This Row],[Peso unitario (gr)]]*Tabla1[[#This Row],[Entregadas]]</f>
        <v>8040</v>
      </c>
      <c r="G117" s="1">
        <f>Tabla1[[#This Row],[Cantidad total (un)]]-Tabla1[[#This Row],[Entregadas]]</f>
        <v>399</v>
      </c>
      <c r="H117" s="11">
        <f>(Tabla1[[#This Row],[Total disponibles]]*Tabla1[[#This Row],[Peso unitario (gr)]])/1000</f>
        <v>15.96</v>
      </c>
      <c r="I117" s="14">
        <f>VLOOKUP(Tabla1[[#This Row],[Referencia]],[1]Hoja1!$A$1:$B$301,2,FALSE)</f>
        <v>900</v>
      </c>
      <c r="J117" s="16">
        <f>Tabla1[[#This Row],[Precio unitario]]*Tabla1[[#This Row],[Total disponibles]]</f>
        <v>359100</v>
      </c>
    </row>
    <row r="118" spans="1:10" x14ac:dyDescent="0.25">
      <c r="A118" s="8" t="s">
        <v>126</v>
      </c>
      <c r="B118" s="1">
        <v>61.4</v>
      </c>
      <c r="C118" s="1">
        <f>Tabla1[[#This Row],[Peso unitario (gr)]]*100</f>
        <v>6140</v>
      </c>
      <c r="D118" s="1">
        <v>13</v>
      </c>
      <c r="E118" s="1">
        <f>13</f>
        <v>13</v>
      </c>
      <c r="F118" s="1">
        <f>Tabla1[[#This Row],[Peso unitario (gr)]]*Tabla1[[#This Row],[Entregadas]]</f>
        <v>798.19999999999993</v>
      </c>
      <c r="G118" s="1">
        <f>Tabla1[[#This Row],[Cantidad total (un)]]-Tabla1[[#This Row],[Entregadas]]</f>
        <v>0</v>
      </c>
      <c r="H118" s="11">
        <f>(Tabla1[[#This Row],[Total disponibles]]*Tabla1[[#This Row],[Peso unitario (gr)]])/1000</f>
        <v>0</v>
      </c>
      <c r="I118" s="14">
        <f>VLOOKUP(Tabla1[[#This Row],[Referencia]],[1]Hoja1!$A$1:$B$301,2,FALSE)</f>
        <v>770</v>
      </c>
      <c r="J118" s="16">
        <f>Tabla1[[#This Row],[Precio unitario]]*Tabla1[[#This Row],[Total disponibles]]</f>
        <v>0</v>
      </c>
    </row>
    <row r="119" spans="1:10" x14ac:dyDescent="0.25">
      <c r="A119" s="8" t="s">
        <v>127</v>
      </c>
      <c r="B119" s="1">
        <v>33.9</v>
      </c>
      <c r="C119" s="1">
        <f>Tabla1[[#This Row],[Peso unitario (gr)]]*100</f>
        <v>3390</v>
      </c>
      <c r="D119" s="1">
        <f>262+14+52</f>
        <v>328</v>
      </c>
      <c r="E119" s="1">
        <v>0</v>
      </c>
      <c r="F119" s="1">
        <f>Tabla1[[#This Row],[Peso unitario (gr)]]*Tabla1[[#This Row],[Entregadas]]</f>
        <v>0</v>
      </c>
      <c r="G119" s="1">
        <f>Tabla1[[#This Row],[Cantidad total (un)]]-Tabla1[[#This Row],[Entregadas]]</f>
        <v>328</v>
      </c>
      <c r="H119" s="11">
        <f>(Tabla1[[#This Row],[Total disponibles]]*Tabla1[[#This Row],[Peso unitario (gr)]])/1000</f>
        <v>11.119199999999999</v>
      </c>
      <c r="I119" s="14">
        <f>VLOOKUP(Tabla1[[#This Row],[Referencia]],[1]Hoja1!$A$1:$B$301,2,FALSE)</f>
        <v>700</v>
      </c>
      <c r="J119" s="16">
        <f>Tabla1[[#This Row],[Precio unitario]]*Tabla1[[#This Row],[Total disponibles]]</f>
        <v>229600</v>
      </c>
    </row>
    <row r="120" spans="1:10" x14ac:dyDescent="0.25">
      <c r="A120" s="8" t="s">
        <v>128</v>
      </c>
      <c r="B120" s="1">
        <v>109</v>
      </c>
      <c r="C120" s="1">
        <f>Tabla1[[#This Row],[Peso unitario (gr)]]*100</f>
        <v>10900</v>
      </c>
      <c r="D120" s="1">
        <v>4</v>
      </c>
      <c r="E120" s="1">
        <v>0</v>
      </c>
      <c r="F120" s="1">
        <f>Tabla1[[#This Row],[Peso unitario (gr)]]*Tabla1[[#This Row],[Entregadas]]</f>
        <v>0</v>
      </c>
      <c r="G120" s="1">
        <f>Tabla1[[#This Row],[Cantidad total (un)]]-Tabla1[[#This Row],[Entregadas]]</f>
        <v>4</v>
      </c>
      <c r="H120" s="11">
        <f>(Tabla1[[#This Row],[Total disponibles]]*Tabla1[[#This Row],[Peso unitario (gr)]])/1000</f>
        <v>0.436</v>
      </c>
      <c r="I120" s="14">
        <f>VLOOKUP(Tabla1[[#This Row],[Referencia]],[1]Hoja1!$A$1:$B$301,2,FALSE)</f>
        <v>4700</v>
      </c>
      <c r="J120" s="16">
        <f>Tabla1[[#This Row],[Precio unitario]]*Tabla1[[#This Row],[Total disponibles]]</f>
        <v>18800</v>
      </c>
    </row>
    <row r="121" spans="1:10" x14ac:dyDescent="0.25">
      <c r="A121" s="8" t="s">
        <v>129</v>
      </c>
      <c r="B121" s="1">
        <v>50.2</v>
      </c>
      <c r="C121" s="1">
        <f>Tabla1[[#This Row],[Peso unitario (gr)]]*100</f>
        <v>5020</v>
      </c>
      <c r="D121" s="1">
        <f>271+47</f>
        <v>318</v>
      </c>
      <c r="E121" s="1">
        <v>0</v>
      </c>
      <c r="F121" s="1">
        <f>Tabla1[[#This Row],[Peso unitario (gr)]]*Tabla1[[#This Row],[Entregadas]]</f>
        <v>0</v>
      </c>
      <c r="G121" s="1">
        <f>Tabla1[[#This Row],[Cantidad total (un)]]-Tabla1[[#This Row],[Entregadas]]</f>
        <v>318</v>
      </c>
      <c r="H121" s="11">
        <f>(Tabla1[[#This Row],[Total disponibles]]*Tabla1[[#This Row],[Peso unitario (gr)]])/1000</f>
        <v>15.9636</v>
      </c>
      <c r="I121" s="14">
        <f>VLOOKUP(Tabla1[[#This Row],[Referencia]],[1]Hoja1!$A$1:$B$301,2,FALSE)</f>
        <v>3500</v>
      </c>
      <c r="J121" s="16">
        <f>Tabla1[[#This Row],[Precio unitario]]*Tabla1[[#This Row],[Total disponibles]]</f>
        <v>1113000</v>
      </c>
    </row>
    <row r="122" spans="1:10" x14ac:dyDescent="0.25">
      <c r="A122" s="8" t="s">
        <v>130</v>
      </c>
      <c r="B122" s="1">
        <v>9.8000000000000007</v>
      </c>
      <c r="C122" s="1">
        <f>Tabla1[[#This Row],[Peso unitario (gr)]]*100</f>
        <v>980.00000000000011</v>
      </c>
      <c r="D122" s="1">
        <f>80+157+65+200</f>
        <v>502</v>
      </c>
      <c r="E122" s="1">
        <v>200</v>
      </c>
      <c r="F122" s="1">
        <f>Tabla1[[#This Row],[Peso unitario (gr)]]*Tabla1[[#This Row],[Entregadas]]</f>
        <v>1960.0000000000002</v>
      </c>
      <c r="G122" s="1">
        <f>Tabla1[[#This Row],[Cantidad total (un)]]-Tabla1[[#This Row],[Entregadas]]</f>
        <v>302</v>
      </c>
      <c r="H122" s="11">
        <f>(Tabla1[[#This Row],[Total disponibles]]*Tabla1[[#This Row],[Peso unitario (gr)]])/1000</f>
        <v>2.9596000000000005</v>
      </c>
      <c r="I122" s="14">
        <f>VLOOKUP(Tabla1[[#This Row],[Referencia]],[1]Hoja1!$A$1:$B$301,2,FALSE)</f>
        <v>500</v>
      </c>
      <c r="J122" s="16">
        <f>Tabla1[[#This Row],[Precio unitario]]*Tabla1[[#This Row],[Total disponibles]]</f>
        <v>151000</v>
      </c>
    </row>
    <row r="123" spans="1:10" x14ac:dyDescent="0.25">
      <c r="A123" s="8" t="s">
        <v>131</v>
      </c>
      <c r="B123" s="1">
        <v>9.8000000000000007</v>
      </c>
      <c r="C123" s="1">
        <f>Tabla1[[#This Row],[Peso unitario (gr)]]*100</f>
        <v>980.00000000000011</v>
      </c>
      <c r="D123" s="1">
        <f>200+200</f>
        <v>400</v>
      </c>
      <c r="E123" s="1">
        <v>0</v>
      </c>
      <c r="F123" s="1">
        <f>Tabla1[[#This Row],[Peso unitario (gr)]]*Tabla1[[#This Row],[Entregadas]]</f>
        <v>0</v>
      </c>
      <c r="G123" s="1">
        <f>Tabla1[[#This Row],[Cantidad total (un)]]-Tabla1[[#This Row],[Entregadas]]</f>
        <v>400</v>
      </c>
      <c r="H123" s="11">
        <f>(Tabla1[[#This Row],[Total disponibles]]*Tabla1[[#This Row],[Peso unitario (gr)]])/1000</f>
        <v>3.9200000000000004</v>
      </c>
      <c r="I123" s="14">
        <f>VLOOKUP(Tabla1[[#This Row],[Referencia]],[1]Hoja1!$A$1:$B$301,2,FALSE)</f>
        <v>250</v>
      </c>
      <c r="J123" s="16">
        <f>Tabla1[[#This Row],[Precio unitario]]*Tabla1[[#This Row],[Total disponibles]]</f>
        <v>100000</v>
      </c>
    </row>
    <row r="124" spans="1:10" x14ac:dyDescent="0.25">
      <c r="A124" s="8" t="s">
        <v>132</v>
      </c>
      <c r="B124" s="1">
        <v>7.5</v>
      </c>
      <c r="C124" s="1">
        <f>Tabla1[[#This Row],[Peso unitario (gr)]]*100</f>
        <v>750</v>
      </c>
      <c r="D124" s="1">
        <f>714+247+102+10</f>
        <v>1073</v>
      </c>
      <c r="E124" s="1">
        <f>300+3+200</f>
        <v>503</v>
      </c>
      <c r="F124" s="1">
        <f>Tabla1[[#This Row],[Peso unitario (gr)]]*Tabla1[[#This Row],[Entregadas]]</f>
        <v>3772.5</v>
      </c>
      <c r="G124" s="1">
        <f>Tabla1[[#This Row],[Cantidad total (un)]]-Tabla1[[#This Row],[Entregadas]]</f>
        <v>570</v>
      </c>
      <c r="H124" s="11">
        <f>(Tabla1[[#This Row],[Total disponibles]]*Tabla1[[#This Row],[Peso unitario (gr)]])/1000</f>
        <v>4.2750000000000004</v>
      </c>
      <c r="I124" s="14">
        <f>VLOOKUP(Tabla1[[#This Row],[Referencia]],[1]Hoja1!$A$1:$B$301,2,FALSE)</f>
        <v>250</v>
      </c>
      <c r="J124" s="16">
        <f>Tabla1[[#This Row],[Precio unitario]]*Tabla1[[#This Row],[Total disponibles]]</f>
        <v>142500</v>
      </c>
    </row>
    <row r="125" spans="1:10" x14ac:dyDescent="0.25">
      <c r="A125" s="8" t="s">
        <v>133</v>
      </c>
      <c r="B125" s="1">
        <v>5.15</v>
      </c>
      <c r="C125" s="1">
        <f>Tabla1[[#This Row],[Peso unitario (gr)]]*100</f>
        <v>515</v>
      </c>
      <c r="D125" s="1">
        <f>1266+57</f>
        <v>1323</v>
      </c>
      <c r="E125" s="1">
        <f>30+35</f>
        <v>65</v>
      </c>
      <c r="F125" s="1">
        <f>Tabla1[[#This Row],[Peso unitario (gr)]]*Tabla1[[#This Row],[Entregadas]]</f>
        <v>334.75</v>
      </c>
      <c r="G125" s="1">
        <f>Tabla1[[#This Row],[Cantidad total (un)]]-Tabla1[[#This Row],[Entregadas]]</f>
        <v>1258</v>
      </c>
      <c r="H125" s="11">
        <f>(Tabla1[[#This Row],[Total disponibles]]*Tabla1[[#This Row],[Peso unitario (gr)]])/1000</f>
        <v>6.4787000000000008</v>
      </c>
      <c r="I125" s="14">
        <f>VLOOKUP(Tabla1[[#This Row],[Referencia]],[1]Hoja1!$A$1:$B$301,2,FALSE)</f>
        <v>250</v>
      </c>
      <c r="J125" s="16">
        <f>Tabla1[[#This Row],[Precio unitario]]*Tabla1[[#This Row],[Total disponibles]]</f>
        <v>314500</v>
      </c>
    </row>
    <row r="126" spans="1:10" x14ac:dyDescent="0.25">
      <c r="A126" s="8" t="s">
        <v>134</v>
      </c>
      <c r="B126" s="1">
        <v>19.5</v>
      </c>
      <c r="C126" s="1">
        <f>Tabla1[[#This Row],[Peso unitario (gr)]]*100</f>
        <v>1950</v>
      </c>
      <c r="D126" s="1">
        <v>46</v>
      </c>
      <c r="E126" s="1">
        <v>0</v>
      </c>
      <c r="F126" s="1">
        <f>Tabla1[[#This Row],[Peso unitario (gr)]]*Tabla1[[#This Row],[Entregadas]]</f>
        <v>0</v>
      </c>
      <c r="G126" s="1">
        <f>Tabla1[[#This Row],[Cantidad total (un)]]-Tabla1[[#This Row],[Entregadas]]</f>
        <v>46</v>
      </c>
      <c r="H126" s="11">
        <f>(Tabla1[[#This Row],[Total disponibles]]*Tabla1[[#This Row],[Peso unitario (gr)]])/1000</f>
        <v>0.89700000000000002</v>
      </c>
      <c r="I126" s="14">
        <f>VLOOKUP(Tabla1[[#This Row],[Referencia]],[1]Hoja1!$A$1:$B$301,2,FALSE)</f>
        <v>600</v>
      </c>
      <c r="J126" s="16">
        <f>Tabla1[[#This Row],[Precio unitario]]*Tabla1[[#This Row],[Total disponibles]]</f>
        <v>27600</v>
      </c>
    </row>
    <row r="127" spans="1:10" x14ac:dyDescent="0.25">
      <c r="A127" s="8" t="s">
        <v>135</v>
      </c>
      <c r="B127" s="1">
        <v>6.3</v>
      </c>
      <c r="C127" s="1">
        <f>Tabla1[[#This Row],[Peso unitario (gr)]]*100</f>
        <v>630</v>
      </c>
      <c r="D127" s="1">
        <f>273+62</f>
        <v>335</v>
      </c>
      <c r="E127" s="1">
        <v>0</v>
      </c>
      <c r="F127" s="1">
        <f>Tabla1[[#This Row],[Peso unitario (gr)]]*Tabla1[[#This Row],[Entregadas]]</f>
        <v>0</v>
      </c>
      <c r="G127" s="1">
        <f>Tabla1[[#This Row],[Cantidad total (un)]]-Tabla1[[#This Row],[Entregadas]]</f>
        <v>335</v>
      </c>
      <c r="H127" s="11">
        <f>(Tabla1[[#This Row],[Total disponibles]]*Tabla1[[#This Row],[Peso unitario (gr)]])/1000</f>
        <v>2.1105</v>
      </c>
      <c r="I127" s="14">
        <f>VLOOKUP(Tabla1[[#This Row],[Referencia]],[1]Hoja1!$A$1:$B$301,2,FALSE)</f>
        <v>400</v>
      </c>
      <c r="J127" s="16">
        <f>Tabla1[[#This Row],[Precio unitario]]*Tabla1[[#This Row],[Total disponibles]]</f>
        <v>134000</v>
      </c>
    </row>
    <row r="128" spans="1:10" x14ac:dyDescent="0.25">
      <c r="A128" s="8" t="s">
        <v>136</v>
      </c>
      <c r="B128" s="1">
        <v>6.3</v>
      </c>
      <c r="C128" s="1">
        <f>Tabla1[[#This Row],[Peso unitario (gr)]]*100</f>
        <v>630</v>
      </c>
      <c r="D128" s="1">
        <f>2357+40</f>
        <v>2397</v>
      </c>
      <c r="E128" s="1">
        <f>25+1+300+12+200+200+200</f>
        <v>938</v>
      </c>
      <c r="F128" s="1">
        <f>Tabla1[[#This Row],[Peso unitario (gr)]]*Tabla1[[#This Row],[Entregadas]]</f>
        <v>5909.4</v>
      </c>
      <c r="G128" s="1">
        <f>Tabla1[[#This Row],[Cantidad total (un)]]-Tabla1[[#This Row],[Entregadas]]</f>
        <v>1459</v>
      </c>
      <c r="H128" s="11">
        <f>(Tabla1[[#This Row],[Total disponibles]]*Tabla1[[#This Row],[Peso unitario (gr)]])/1000</f>
        <v>9.1916999999999991</v>
      </c>
      <c r="I128" s="14">
        <f>VLOOKUP(Tabla1[[#This Row],[Referencia]],[1]Hoja1!$A$1:$B$301,2,FALSE)</f>
        <v>250</v>
      </c>
      <c r="J128" s="16">
        <f>Tabla1[[#This Row],[Precio unitario]]*Tabla1[[#This Row],[Total disponibles]]</f>
        <v>364750</v>
      </c>
    </row>
    <row r="129" spans="1:10" x14ac:dyDescent="0.25">
      <c r="A129" s="8" t="s">
        <v>137</v>
      </c>
      <c r="B129" s="1">
        <v>157</v>
      </c>
      <c r="C129" s="1">
        <f>Tabla1[[#This Row],[Peso unitario (gr)]]*100</f>
        <v>15700</v>
      </c>
      <c r="D129" s="1">
        <v>49</v>
      </c>
      <c r="E129" s="1">
        <v>0</v>
      </c>
      <c r="F129" s="1">
        <f>Tabla1[[#This Row],[Peso unitario (gr)]]*Tabla1[[#This Row],[Entregadas]]</f>
        <v>0</v>
      </c>
      <c r="G129" s="1">
        <f>Tabla1[[#This Row],[Cantidad total (un)]]-Tabla1[[#This Row],[Entregadas]]</f>
        <v>49</v>
      </c>
      <c r="H129" s="11">
        <f>(Tabla1[[#This Row],[Total disponibles]]*Tabla1[[#This Row],[Peso unitario (gr)]])/1000</f>
        <v>7.6929999999999996</v>
      </c>
      <c r="I129" s="14">
        <f>VLOOKUP(Tabla1[[#This Row],[Referencia]],[1]Hoja1!$A$1:$B$301,2,FALSE)</f>
        <v>4500</v>
      </c>
      <c r="J129" s="16">
        <f>Tabla1[[#This Row],[Precio unitario]]*Tabla1[[#This Row],[Total disponibles]]</f>
        <v>220500</v>
      </c>
    </row>
    <row r="130" spans="1:10" x14ac:dyDescent="0.25">
      <c r="A130" s="8" t="s">
        <v>138</v>
      </c>
      <c r="B130" s="1">
        <v>264</v>
      </c>
      <c r="C130" s="1">
        <f>Tabla1[[#This Row],[Peso unitario (gr)]]*100</f>
        <v>26400</v>
      </c>
      <c r="D130" s="1">
        <v>12</v>
      </c>
      <c r="E130" s="1">
        <v>0</v>
      </c>
      <c r="F130" s="1">
        <f>Tabla1[[#This Row],[Peso unitario (gr)]]*Tabla1[[#This Row],[Entregadas]]</f>
        <v>0</v>
      </c>
      <c r="G130" s="1">
        <f>Tabla1[[#This Row],[Cantidad total (un)]]-Tabla1[[#This Row],[Entregadas]]</f>
        <v>12</v>
      </c>
      <c r="H130" s="11">
        <f>(Tabla1[[#This Row],[Total disponibles]]*Tabla1[[#This Row],[Peso unitario (gr)]])/1000</f>
        <v>3.1680000000000001</v>
      </c>
      <c r="I130" s="14">
        <f>VLOOKUP(Tabla1[[#This Row],[Referencia]],[1]Hoja1!$A$1:$B$301,2,FALSE)</f>
        <v>9500</v>
      </c>
      <c r="J130" s="16">
        <f>Tabla1[[#This Row],[Precio unitario]]*Tabla1[[#This Row],[Total disponibles]]</f>
        <v>114000</v>
      </c>
    </row>
    <row r="131" spans="1:10" x14ac:dyDescent="0.25">
      <c r="A131" s="8" t="s">
        <v>139</v>
      </c>
      <c r="B131" s="1">
        <v>23.3</v>
      </c>
      <c r="C131" s="1">
        <f>Tabla1[[#This Row],[Peso unitario (gr)]]*100</f>
        <v>2330</v>
      </c>
      <c r="D131" s="1">
        <f>1308+31+275+87+300</f>
        <v>2001</v>
      </c>
      <c r="E131" s="1">
        <f>300+4+200+300</f>
        <v>804</v>
      </c>
      <c r="F131" s="1">
        <f>Tabla1[[#This Row],[Peso unitario (gr)]]*Tabla1[[#This Row],[Entregadas]]</f>
        <v>18733.2</v>
      </c>
      <c r="G131" s="1">
        <f>Tabla1[[#This Row],[Cantidad total (un)]]-Tabla1[[#This Row],[Entregadas]]</f>
        <v>1197</v>
      </c>
      <c r="H131" s="11">
        <f>(Tabla1[[#This Row],[Total disponibles]]*Tabla1[[#This Row],[Peso unitario (gr)]])/1000</f>
        <v>27.890100000000004</v>
      </c>
      <c r="I131" s="14">
        <f>VLOOKUP(Tabla1[[#This Row],[Referencia]],[1]Hoja1!$A$1:$B$301,2,FALSE)</f>
        <v>350</v>
      </c>
      <c r="J131" s="16">
        <f>Tabla1[[#This Row],[Precio unitario]]*Tabla1[[#This Row],[Total disponibles]]</f>
        <v>418950</v>
      </c>
    </row>
    <row r="132" spans="1:10" x14ac:dyDescent="0.25">
      <c r="A132" s="8" t="s">
        <v>140</v>
      </c>
      <c r="B132" s="1">
        <v>24.8</v>
      </c>
      <c r="C132" s="1">
        <f>Tabla1[[#This Row],[Peso unitario (gr)]]*100</f>
        <v>2480</v>
      </c>
      <c r="D132" s="1">
        <v>78</v>
      </c>
      <c r="E132" s="1">
        <v>0</v>
      </c>
      <c r="F132" s="1">
        <f>Tabla1[[#This Row],[Peso unitario (gr)]]*Tabla1[[#This Row],[Entregadas]]</f>
        <v>0</v>
      </c>
      <c r="G132" s="1">
        <f>Tabla1[[#This Row],[Cantidad total (un)]]-Tabla1[[#This Row],[Entregadas]]</f>
        <v>78</v>
      </c>
      <c r="H132" s="11">
        <f>(Tabla1[[#This Row],[Total disponibles]]*Tabla1[[#This Row],[Peso unitario (gr)]])/1000</f>
        <v>1.9344000000000001</v>
      </c>
      <c r="I132" s="14">
        <f>VLOOKUP(Tabla1[[#This Row],[Referencia]],[1]Hoja1!$A$1:$B$301,2,FALSE)</f>
        <v>1200</v>
      </c>
      <c r="J132" s="16">
        <f>Tabla1[[#This Row],[Precio unitario]]*Tabla1[[#This Row],[Total disponibles]]</f>
        <v>93600</v>
      </c>
    </row>
    <row r="133" spans="1:10" x14ac:dyDescent="0.25">
      <c r="A133" s="8" t="s">
        <v>141</v>
      </c>
      <c r="B133" s="1">
        <v>20.7</v>
      </c>
      <c r="C133" s="1">
        <f>Tabla1[[#This Row],[Peso unitario (gr)]]*100</f>
        <v>2070</v>
      </c>
      <c r="D133" s="1">
        <f>1498+10+10+375+1000</f>
        <v>2893</v>
      </c>
      <c r="E133" s="1">
        <f>1000+893+200</f>
        <v>2093</v>
      </c>
      <c r="F133" s="1">
        <f>Tabla1[[#This Row],[Peso unitario (gr)]]*Tabla1[[#This Row],[Entregadas]]</f>
        <v>43325.1</v>
      </c>
      <c r="G133" s="1">
        <f>Tabla1[[#This Row],[Cantidad total (un)]]-Tabla1[[#This Row],[Entregadas]]</f>
        <v>800</v>
      </c>
      <c r="H133" s="11">
        <f>(Tabla1[[#This Row],[Total disponibles]]*Tabla1[[#This Row],[Peso unitario (gr)]])/1000</f>
        <v>16.559999999999999</v>
      </c>
      <c r="I133" s="14">
        <f>VLOOKUP(Tabla1[[#This Row],[Referencia]],[1]Hoja1!$A$1:$B$301,2,FALSE)</f>
        <v>350</v>
      </c>
      <c r="J133" s="16">
        <f>Tabla1[[#This Row],[Precio unitario]]*Tabla1[[#This Row],[Total disponibles]]</f>
        <v>280000</v>
      </c>
    </row>
    <row r="134" spans="1:10" x14ac:dyDescent="0.25">
      <c r="A134" s="8" t="s">
        <v>142</v>
      </c>
      <c r="B134" s="1">
        <v>17.600000000000001</v>
      </c>
      <c r="C134" s="1">
        <f>Tabla1[[#This Row],[Peso unitario (gr)]]*100</f>
        <v>1760.0000000000002</v>
      </c>
      <c r="D134" s="1">
        <f>101+23+34</f>
        <v>158</v>
      </c>
      <c r="E134" s="1">
        <v>0</v>
      </c>
      <c r="F134" s="1">
        <f>Tabla1[[#This Row],[Peso unitario (gr)]]*Tabla1[[#This Row],[Entregadas]]</f>
        <v>0</v>
      </c>
      <c r="G134" s="1">
        <f>Tabla1[[#This Row],[Cantidad total (un)]]-Tabla1[[#This Row],[Entregadas]]</f>
        <v>158</v>
      </c>
      <c r="H134" s="11">
        <f>(Tabla1[[#This Row],[Total disponibles]]*Tabla1[[#This Row],[Peso unitario (gr)]])/1000</f>
        <v>2.7808000000000002</v>
      </c>
      <c r="I134" s="14">
        <f>VLOOKUP(Tabla1[[#This Row],[Referencia]],[1]Hoja1!$A$1:$B$301,2,FALSE)</f>
        <v>950</v>
      </c>
      <c r="J134" s="16">
        <f>Tabla1[[#This Row],[Precio unitario]]*Tabla1[[#This Row],[Total disponibles]]</f>
        <v>150100</v>
      </c>
    </row>
    <row r="135" spans="1:10" x14ac:dyDescent="0.25">
      <c r="A135" s="8" t="s">
        <v>143</v>
      </c>
      <c r="B135" s="1">
        <v>18.600000000000001</v>
      </c>
      <c r="C135" s="1">
        <f>Tabla1[[#This Row],[Peso unitario (gr)]]*100</f>
        <v>1860.0000000000002</v>
      </c>
      <c r="D135" s="1">
        <f>1699+66+30</f>
        <v>1795</v>
      </c>
      <c r="E135" s="1">
        <f>10+16+200+200</f>
        <v>426</v>
      </c>
      <c r="F135" s="1">
        <f>Tabla1[[#This Row],[Peso unitario (gr)]]*Tabla1[[#This Row],[Entregadas]]</f>
        <v>7923.6</v>
      </c>
      <c r="G135" s="1">
        <f>Tabla1[[#This Row],[Cantidad total (un)]]-Tabla1[[#This Row],[Entregadas]]</f>
        <v>1369</v>
      </c>
      <c r="H135" s="11">
        <f>(Tabla1[[#This Row],[Total disponibles]]*Tabla1[[#This Row],[Peso unitario (gr)]])/1000</f>
        <v>25.4634</v>
      </c>
      <c r="I135" s="14">
        <f>VLOOKUP(Tabla1[[#This Row],[Referencia]],[1]Hoja1!$A$1:$B$301,2,FALSE)</f>
        <v>350</v>
      </c>
      <c r="J135" s="16">
        <f>Tabla1[[#This Row],[Precio unitario]]*Tabla1[[#This Row],[Total disponibles]]</f>
        <v>479150</v>
      </c>
    </row>
    <row r="136" spans="1:10" x14ac:dyDescent="0.25">
      <c r="A136" s="8" t="s">
        <v>144</v>
      </c>
      <c r="B136" s="1">
        <v>34.299999999999997</v>
      </c>
      <c r="C136" s="1">
        <f>Tabla1[[#This Row],[Peso unitario (gr)]]*100</f>
        <v>3429.9999999999995</v>
      </c>
      <c r="D136" s="1">
        <f>13+175+59+200+500</f>
        <v>947</v>
      </c>
      <c r="E136" s="1">
        <f>247+5+200</f>
        <v>452</v>
      </c>
      <c r="F136" s="1">
        <f>Tabla1[[#This Row],[Peso unitario (gr)]]*Tabla1[[#This Row],[Entregadas]]</f>
        <v>15503.599999999999</v>
      </c>
      <c r="G136" s="1">
        <f>Tabla1[[#This Row],[Cantidad total (un)]]-Tabla1[[#This Row],[Entregadas]]</f>
        <v>495</v>
      </c>
      <c r="H136" s="11">
        <f>(Tabla1[[#This Row],[Total disponibles]]*Tabla1[[#This Row],[Peso unitario (gr)]])/1000</f>
        <v>16.9785</v>
      </c>
      <c r="I136" s="14">
        <f>VLOOKUP(Tabla1[[#This Row],[Referencia]],[1]Hoja1!$A$1:$B$301,2,FALSE)</f>
        <v>1600</v>
      </c>
      <c r="J136" s="16">
        <f>Tabla1[[#This Row],[Precio unitario]]*Tabla1[[#This Row],[Total disponibles]]</f>
        <v>792000</v>
      </c>
    </row>
    <row r="137" spans="1:10" x14ac:dyDescent="0.25">
      <c r="A137" s="8" t="s">
        <v>145</v>
      </c>
      <c r="B137" s="1">
        <v>34.299999999999997</v>
      </c>
      <c r="C137" s="1">
        <f>Tabla1[[#This Row],[Peso unitario (gr)]]*100</f>
        <v>3429.9999999999995</v>
      </c>
      <c r="D137" s="1">
        <f>1000</f>
        <v>1000</v>
      </c>
      <c r="E137" s="1">
        <f>200</f>
        <v>200</v>
      </c>
      <c r="F137" s="1">
        <f>Tabla1[[#This Row],[Peso unitario (gr)]]*Tabla1[[#This Row],[Entregadas]]</f>
        <v>6859.9999999999991</v>
      </c>
      <c r="G137" s="1">
        <f>Tabla1[[#This Row],[Cantidad total (un)]]-Tabla1[[#This Row],[Entregadas]]</f>
        <v>800</v>
      </c>
      <c r="H137" s="11">
        <f>(Tabla1[[#This Row],[Total disponibles]]*Tabla1[[#This Row],[Peso unitario (gr)]])/1000</f>
        <v>27.439999999999998</v>
      </c>
      <c r="I137" s="14">
        <f>VLOOKUP(Tabla1[[#This Row],[Referencia]],[1]Hoja1!$A$1:$B$301,2,FALSE)</f>
        <v>550</v>
      </c>
      <c r="J137" s="16">
        <f>Tabla1[[#This Row],[Precio unitario]]*Tabla1[[#This Row],[Total disponibles]]</f>
        <v>440000</v>
      </c>
    </row>
    <row r="138" spans="1:10" x14ac:dyDescent="0.25">
      <c r="A138" s="8" t="s">
        <v>146</v>
      </c>
      <c r="B138" s="1">
        <v>39.6</v>
      </c>
      <c r="C138" s="1">
        <f>Tabla1[[#This Row],[Peso unitario (gr)]]*100</f>
        <v>3960</v>
      </c>
      <c r="D138" s="1">
        <v>225</v>
      </c>
      <c r="E138" s="1">
        <f>25+8</f>
        <v>33</v>
      </c>
      <c r="F138" s="1">
        <f>Tabla1[[#This Row],[Peso unitario (gr)]]*Tabla1[[#This Row],[Entregadas]]</f>
        <v>1306.8</v>
      </c>
      <c r="G138" s="1">
        <f>Tabla1[[#This Row],[Cantidad total (un)]]-Tabla1[[#This Row],[Entregadas]]</f>
        <v>192</v>
      </c>
      <c r="H138" s="11">
        <f>(Tabla1[[#This Row],[Total disponibles]]*Tabla1[[#This Row],[Peso unitario (gr)]])/1000</f>
        <v>7.6032000000000011</v>
      </c>
      <c r="I138" s="14">
        <f>VLOOKUP(Tabla1[[#This Row],[Referencia]],[1]Hoja1!$A$1:$B$301,2,FALSE)</f>
        <v>2500</v>
      </c>
      <c r="J138" s="16">
        <f>Tabla1[[#This Row],[Precio unitario]]*Tabla1[[#This Row],[Total disponibles]]</f>
        <v>480000</v>
      </c>
    </row>
    <row r="139" spans="1:10" x14ac:dyDescent="0.25">
      <c r="A139" s="8" t="s">
        <v>147</v>
      </c>
      <c r="B139" s="1">
        <v>15.4</v>
      </c>
      <c r="C139" s="1">
        <f>Tabla1[[#This Row],[Peso unitario (gr)]]*100</f>
        <v>1540</v>
      </c>
      <c r="D139" s="1">
        <f>122+200+200</f>
        <v>522</v>
      </c>
      <c r="E139" s="1">
        <f>122+18+26+50</f>
        <v>216</v>
      </c>
      <c r="F139" s="1">
        <f>Tabla1[[#This Row],[Peso unitario (gr)]]*Tabla1[[#This Row],[Entregadas]]</f>
        <v>3326.4</v>
      </c>
      <c r="G139" s="1">
        <f>Tabla1[[#This Row],[Cantidad total (un)]]-Tabla1[[#This Row],[Entregadas]]</f>
        <v>306</v>
      </c>
      <c r="H139" s="11">
        <f>(Tabla1[[#This Row],[Total disponibles]]*Tabla1[[#This Row],[Peso unitario (gr)]])/1000</f>
        <v>4.7124000000000006</v>
      </c>
      <c r="I139" s="14">
        <f>VLOOKUP(Tabla1[[#This Row],[Referencia]],[1]Hoja1!$A$1:$B$301,2,FALSE)</f>
        <v>800</v>
      </c>
      <c r="J139" s="16">
        <f>Tabla1[[#This Row],[Precio unitario]]*Tabla1[[#This Row],[Total disponibles]]</f>
        <v>244800</v>
      </c>
    </row>
    <row r="140" spans="1:10" x14ac:dyDescent="0.25">
      <c r="A140" s="8" t="s">
        <v>148</v>
      </c>
      <c r="B140" s="1">
        <v>70.5</v>
      </c>
      <c r="C140" s="1">
        <f>Tabla1[[#This Row],[Peso unitario (gr)]]*100</f>
        <v>7050</v>
      </c>
      <c r="D140" s="1">
        <f>205+100+100</f>
        <v>405</v>
      </c>
      <c r="E140" s="1">
        <f>150+100+100</f>
        <v>350</v>
      </c>
      <c r="F140" s="1">
        <f>Tabla1[[#This Row],[Peso unitario (gr)]]*Tabla1[[#This Row],[Entregadas]]</f>
        <v>24675</v>
      </c>
      <c r="G140" s="1">
        <f>Tabla1[[#This Row],[Cantidad total (un)]]-Tabla1[[#This Row],[Entregadas]]</f>
        <v>55</v>
      </c>
      <c r="H140" s="11">
        <f>(Tabla1[[#This Row],[Total disponibles]]*Tabla1[[#This Row],[Peso unitario (gr)]])/1000</f>
        <v>3.8774999999999999</v>
      </c>
      <c r="I140" s="14">
        <f>VLOOKUP(Tabla1[[#This Row],[Referencia]],[1]Hoja1!$A$1:$B$301,2,FALSE)</f>
        <v>4800</v>
      </c>
      <c r="J140" s="16">
        <f>Tabla1[[#This Row],[Precio unitario]]*Tabla1[[#This Row],[Total disponibles]]</f>
        <v>264000</v>
      </c>
    </row>
    <row r="141" spans="1:10" x14ac:dyDescent="0.25">
      <c r="A141" s="8" t="s">
        <v>149</v>
      </c>
      <c r="B141" s="1">
        <v>23.7</v>
      </c>
      <c r="C141" s="1">
        <f>Tabla1[[#This Row],[Peso unitario (gr)]]*100</f>
        <v>2370</v>
      </c>
      <c r="D141" s="1">
        <v>244</v>
      </c>
      <c r="E141" s="1">
        <v>0</v>
      </c>
      <c r="F141" s="1">
        <f>Tabla1[[#This Row],[Peso unitario (gr)]]*Tabla1[[#This Row],[Entregadas]]</f>
        <v>0</v>
      </c>
      <c r="G141" s="1">
        <f>Tabla1[[#This Row],[Cantidad total (un)]]-Tabla1[[#This Row],[Entregadas]]</f>
        <v>244</v>
      </c>
      <c r="H141" s="11">
        <f>(Tabla1[[#This Row],[Total disponibles]]*Tabla1[[#This Row],[Peso unitario (gr)]])/1000</f>
        <v>5.7827999999999999</v>
      </c>
      <c r="I141" s="14">
        <f>VLOOKUP(Tabla1[[#This Row],[Referencia]],[1]Hoja1!$A$1:$B$301,2,FALSE)</f>
        <v>1000</v>
      </c>
      <c r="J141" s="16">
        <f>Tabla1[[#This Row],[Precio unitario]]*Tabla1[[#This Row],[Total disponibles]]</f>
        <v>244000</v>
      </c>
    </row>
    <row r="142" spans="1:10" x14ac:dyDescent="0.25">
      <c r="A142" s="8" t="s">
        <v>150</v>
      </c>
      <c r="B142" s="1">
        <v>17.5</v>
      </c>
      <c r="C142" s="1">
        <f>Tabla1[[#This Row],[Peso unitario (gr)]]*100</f>
        <v>1750</v>
      </c>
      <c r="D142" s="1">
        <f>125+143+75</f>
        <v>343</v>
      </c>
      <c r="E142" s="1">
        <f>200</f>
        <v>200</v>
      </c>
      <c r="F142" s="1">
        <f>Tabla1[[#This Row],[Peso unitario (gr)]]*Tabla1[[#This Row],[Entregadas]]</f>
        <v>3500</v>
      </c>
      <c r="G142" s="1">
        <f>Tabla1[[#This Row],[Cantidad total (un)]]-Tabla1[[#This Row],[Entregadas]]</f>
        <v>143</v>
      </c>
      <c r="H142" s="11">
        <f>(Tabla1[[#This Row],[Total disponibles]]*Tabla1[[#This Row],[Peso unitario (gr)]])/1000</f>
        <v>2.5024999999999999</v>
      </c>
      <c r="I142" s="14">
        <f>VLOOKUP(Tabla1[[#This Row],[Referencia]],[1]Hoja1!$A$1:$B$301,2,FALSE)</f>
        <v>300</v>
      </c>
      <c r="J142" s="16">
        <f>Tabla1[[#This Row],[Precio unitario]]*Tabla1[[#This Row],[Total disponibles]]</f>
        <v>42900</v>
      </c>
    </row>
    <row r="143" spans="1:10" x14ac:dyDescent="0.25">
      <c r="A143" s="8" t="s">
        <v>151</v>
      </c>
      <c r="B143" s="1">
        <v>16.2</v>
      </c>
      <c r="C143" s="1">
        <f>Tabla1[[#This Row],[Peso unitario (gr)]]*100</f>
        <v>1620</v>
      </c>
      <c r="D143" s="1">
        <v>124</v>
      </c>
      <c r="E143" s="1">
        <v>0</v>
      </c>
      <c r="F143" s="1">
        <f>Tabla1[[#This Row],[Peso unitario (gr)]]*Tabla1[[#This Row],[Entregadas]]</f>
        <v>0</v>
      </c>
      <c r="G143" s="1">
        <f>Tabla1[[#This Row],[Cantidad total (un)]]-Tabla1[[#This Row],[Entregadas]]</f>
        <v>124</v>
      </c>
      <c r="H143" s="11">
        <f>(Tabla1[[#This Row],[Total disponibles]]*Tabla1[[#This Row],[Peso unitario (gr)]])/1000</f>
        <v>2.0087999999999999</v>
      </c>
      <c r="I143" s="14">
        <f>VLOOKUP(Tabla1[[#This Row],[Referencia]],[1]Hoja1!$A$1:$B$301,2,FALSE)</f>
        <v>400</v>
      </c>
      <c r="J143" s="16">
        <f>Tabla1[[#This Row],[Precio unitario]]*Tabla1[[#This Row],[Total disponibles]]</f>
        <v>49600</v>
      </c>
    </row>
    <row r="144" spans="1:10" x14ac:dyDescent="0.25">
      <c r="A144" s="8" t="s">
        <v>152</v>
      </c>
      <c r="B144" s="1">
        <v>16.2</v>
      </c>
      <c r="C144" s="1">
        <f>Tabla1[[#This Row],[Peso unitario (gr)]]*100</f>
        <v>1620</v>
      </c>
      <c r="D144" s="1">
        <v>395</v>
      </c>
      <c r="E144" s="1">
        <v>0</v>
      </c>
      <c r="F144" s="1">
        <f>Tabla1[[#This Row],[Peso unitario (gr)]]*Tabla1[[#This Row],[Entregadas]]</f>
        <v>0</v>
      </c>
      <c r="G144" s="1">
        <f>Tabla1[[#This Row],[Cantidad total (un)]]-Tabla1[[#This Row],[Entregadas]]</f>
        <v>395</v>
      </c>
      <c r="H144" s="11">
        <f>(Tabla1[[#This Row],[Total disponibles]]*Tabla1[[#This Row],[Peso unitario (gr)]])/1000</f>
        <v>6.399</v>
      </c>
      <c r="I144" s="14">
        <f>VLOOKUP(Tabla1[[#This Row],[Referencia]],[1]Hoja1!$A$1:$B$301,2,FALSE)</f>
        <v>950</v>
      </c>
      <c r="J144" s="16">
        <f>Tabla1[[#This Row],[Precio unitario]]*Tabla1[[#This Row],[Total disponibles]]</f>
        <v>375250</v>
      </c>
    </row>
    <row r="145" spans="1:10" x14ac:dyDescent="0.25">
      <c r="A145" s="8" t="s">
        <v>153</v>
      </c>
      <c r="B145" s="1">
        <v>14.5</v>
      </c>
      <c r="C145" s="1">
        <f>Tabla1[[#This Row],[Peso unitario (gr)]]*100</f>
        <v>1450</v>
      </c>
      <c r="D145" s="1">
        <v>55</v>
      </c>
      <c r="E145" s="1">
        <v>0</v>
      </c>
      <c r="F145" s="1">
        <f>Tabla1[[#This Row],[Peso unitario (gr)]]*Tabla1[[#This Row],[Entregadas]]</f>
        <v>0</v>
      </c>
      <c r="G145" s="1">
        <f>Tabla1[[#This Row],[Cantidad total (un)]]-Tabla1[[#This Row],[Entregadas]]</f>
        <v>55</v>
      </c>
      <c r="H145" s="11">
        <f>(Tabla1[[#This Row],[Total disponibles]]*Tabla1[[#This Row],[Peso unitario (gr)]])/1000</f>
        <v>0.79749999999999999</v>
      </c>
      <c r="I145" s="14">
        <f>VLOOKUP(Tabla1[[#This Row],[Referencia]],[1]Hoja1!$A$1:$B$301,2,FALSE)</f>
        <v>800</v>
      </c>
      <c r="J145" s="16">
        <f>Tabla1[[#This Row],[Precio unitario]]*Tabla1[[#This Row],[Total disponibles]]</f>
        <v>44000</v>
      </c>
    </row>
    <row r="146" spans="1:10" x14ac:dyDescent="0.25">
      <c r="A146" s="8" t="s">
        <v>154</v>
      </c>
      <c r="B146" s="1">
        <v>14.5</v>
      </c>
      <c r="C146" s="1">
        <f>Tabla1[[#This Row],[Peso unitario (gr)]]*100</f>
        <v>1450</v>
      </c>
      <c r="D146" s="1">
        <v>700</v>
      </c>
      <c r="E146" s="1">
        <v>0</v>
      </c>
      <c r="F146" s="1">
        <f>Tabla1[[#This Row],[Peso unitario (gr)]]*Tabla1[[#This Row],[Entregadas]]</f>
        <v>0</v>
      </c>
      <c r="G146" s="1">
        <f>Tabla1[[#This Row],[Cantidad total (un)]]-Tabla1[[#This Row],[Entregadas]]</f>
        <v>700</v>
      </c>
      <c r="H146" s="11">
        <f>(Tabla1[[#This Row],[Total disponibles]]*Tabla1[[#This Row],[Peso unitario (gr)]])/1000</f>
        <v>10.15</v>
      </c>
      <c r="I146" s="14"/>
      <c r="J146" s="16">
        <f>Tabla1[[#This Row],[Precio unitario]]*Tabla1[[#This Row],[Total disponibles]]</f>
        <v>0</v>
      </c>
    </row>
    <row r="147" spans="1:10" x14ac:dyDescent="0.25">
      <c r="A147" s="8" t="s">
        <v>155</v>
      </c>
      <c r="B147" s="1">
        <v>12.6</v>
      </c>
      <c r="C147" s="1">
        <f>Tabla1[[#This Row],[Peso unitario (gr)]]*100</f>
        <v>1260</v>
      </c>
      <c r="D147" s="1">
        <v>1425</v>
      </c>
      <c r="E147" s="1">
        <f>300+100</f>
        <v>400</v>
      </c>
      <c r="F147" s="1">
        <f>Tabla1[[#This Row],[Peso unitario (gr)]]*Tabla1[[#This Row],[Entregadas]]</f>
        <v>5040</v>
      </c>
      <c r="G147" s="1">
        <f>Tabla1[[#This Row],[Cantidad total (un)]]-Tabla1[[#This Row],[Entregadas]]</f>
        <v>1025</v>
      </c>
      <c r="H147" s="11">
        <f>(Tabla1[[#This Row],[Total disponibles]]*Tabla1[[#This Row],[Peso unitario (gr)]])/1000</f>
        <v>12.914999999999999</v>
      </c>
      <c r="I147" s="14">
        <f>VLOOKUP(Tabla1[[#This Row],[Referencia]],[1]Hoja1!$A$1:$B$301,2,FALSE)</f>
        <v>300</v>
      </c>
      <c r="J147" s="16">
        <f>Tabla1[[#This Row],[Precio unitario]]*Tabla1[[#This Row],[Total disponibles]]</f>
        <v>307500</v>
      </c>
    </row>
    <row r="148" spans="1:10" x14ac:dyDescent="0.25">
      <c r="A148" s="8" t="s">
        <v>156</v>
      </c>
      <c r="B148" s="1">
        <v>12.9</v>
      </c>
      <c r="C148" s="1">
        <f>Tabla1[[#This Row],[Peso unitario (gr)]]*100</f>
        <v>1290</v>
      </c>
      <c r="D148" s="1">
        <f>1333+115+45+107</f>
        <v>1600</v>
      </c>
      <c r="E148" s="1">
        <f>4+4</f>
        <v>8</v>
      </c>
      <c r="F148" s="1">
        <f>Tabla1[[#This Row],[Peso unitario (gr)]]*Tabla1[[#This Row],[Entregadas]]</f>
        <v>103.2</v>
      </c>
      <c r="G148" s="1">
        <f>Tabla1[[#This Row],[Cantidad total (un)]]-Tabla1[[#This Row],[Entregadas]]</f>
        <v>1592</v>
      </c>
      <c r="H148" s="11">
        <f>(Tabla1[[#This Row],[Total disponibles]]*Tabla1[[#This Row],[Peso unitario (gr)]])/1000</f>
        <v>20.536799999999999</v>
      </c>
      <c r="I148" s="14">
        <f>VLOOKUP(Tabla1[[#This Row],[Referencia]],[1]Hoja1!$A$1:$B$301,2,FALSE)</f>
        <v>300</v>
      </c>
      <c r="J148" s="16">
        <f>Tabla1[[#This Row],[Precio unitario]]*Tabla1[[#This Row],[Total disponibles]]</f>
        <v>477600</v>
      </c>
    </row>
    <row r="149" spans="1:10" x14ac:dyDescent="0.25">
      <c r="A149" s="8" t="s">
        <v>157</v>
      </c>
      <c r="B149" s="1">
        <v>11</v>
      </c>
      <c r="C149" s="1">
        <f>Tabla1[[#This Row],[Peso unitario (gr)]]*100</f>
        <v>1100</v>
      </c>
      <c r="D149" s="1">
        <v>500</v>
      </c>
      <c r="E149" s="1">
        <v>0</v>
      </c>
      <c r="F149" s="1">
        <f>Tabla1[[#This Row],[Peso unitario (gr)]]*Tabla1[[#This Row],[Entregadas]]</f>
        <v>0</v>
      </c>
      <c r="G149" s="1">
        <f>Tabla1[[#This Row],[Cantidad total (un)]]-Tabla1[[#This Row],[Entregadas]]</f>
        <v>500</v>
      </c>
      <c r="H149" s="11">
        <f>(Tabla1[[#This Row],[Total disponibles]]*Tabla1[[#This Row],[Peso unitario (gr)]])/1000</f>
        <v>5.5</v>
      </c>
      <c r="I149" s="14">
        <v>100</v>
      </c>
      <c r="J149" s="16">
        <f>Tabla1[[#This Row],[Precio unitario]]*Tabla1[[#This Row],[Total disponibles]]</f>
        <v>50000</v>
      </c>
    </row>
    <row r="150" spans="1:10" x14ac:dyDescent="0.25">
      <c r="A150" s="8" t="s">
        <v>158</v>
      </c>
      <c r="B150" s="1">
        <v>20.100000000000001</v>
      </c>
      <c r="C150" s="1">
        <f>Tabla1[[#This Row],[Peso unitario (gr)]]*100</f>
        <v>2010.0000000000002</v>
      </c>
      <c r="D150" s="1">
        <f>463+10</f>
        <v>473</v>
      </c>
      <c r="E150" s="1">
        <v>0</v>
      </c>
      <c r="F150" s="1">
        <f>Tabla1[[#This Row],[Peso unitario (gr)]]*Tabla1[[#This Row],[Entregadas]]</f>
        <v>0</v>
      </c>
      <c r="G150" s="1">
        <f>Tabla1[[#This Row],[Cantidad total (un)]]-Tabla1[[#This Row],[Entregadas]]</f>
        <v>473</v>
      </c>
      <c r="H150" s="11">
        <f>(Tabla1[[#This Row],[Total disponibles]]*Tabla1[[#This Row],[Peso unitario (gr)]])/1000</f>
        <v>9.5073000000000008</v>
      </c>
      <c r="I150" s="14">
        <f>VLOOKUP(Tabla1[[#This Row],[Referencia]],[1]Hoja1!$A$1:$B$301,2,FALSE)</f>
        <v>1200</v>
      </c>
      <c r="J150" s="16">
        <f>Tabla1[[#This Row],[Precio unitario]]*Tabla1[[#This Row],[Total disponibles]]</f>
        <v>567600</v>
      </c>
    </row>
    <row r="151" spans="1:10" x14ac:dyDescent="0.25">
      <c r="A151" s="8" t="s">
        <v>159</v>
      </c>
      <c r="B151" s="1">
        <v>10.8</v>
      </c>
      <c r="C151" s="1">
        <f>Tabla1[[#This Row],[Peso unitario (gr)]]*100</f>
        <v>1080</v>
      </c>
      <c r="D151" s="1">
        <f>286+72+71+90</f>
        <v>519</v>
      </c>
      <c r="E151" s="1">
        <v>0</v>
      </c>
      <c r="F151" s="1">
        <f>Tabla1[[#This Row],[Peso unitario (gr)]]*Tabla1[[#This Row],[Entregadas]]</f>
        <v>0</v>
      </c>
      <c r="G151" s="1">
        <f>Tabla1[[#This Row],[Cantidad total (un)]]-Tabla1[[#This Row],[Entregadas]]</f>
        <v>519</v>
      </c>
      <c r="H151" s="11">
        <f>(Tabla1[[#This Row],[Total disponibles]]*Tabla1[[#This Row],[Peso unitario (gr)]])/1000</f>
        <v>5.6052000000000008</v>
      </c>
      <c r="I151" s="14">
        <f>VLOOKUP(Tabla1[[#This Row],[Referencia]],[1]Hoja1!$A$1:$B$301,2,FALSE)</f>
        <v>750</v>
      </c>
      <c r="J151" s="16">
        <f>Tabla1[[#This Row],[Precio unitario]]*Tabla1[[#This Row],[Total disponibles]]</f>
        <v>389250</v>
      </c>
    </row>
    <row r="152" spans="1:10" x14ac:dyDescent="0.25">
      <c r="A152" s="8" t="s">
        <v>160</v>
      </c>
      <c r="B152" s="1">
        <v>10.8</v>
      </c>
      <c r="C152" s="1">
        <f>Tabla1[[#This Row],[Peso unitario (gr)]]*100</f>
        <v>1080</v>
      </c>
      <c r="D152" s="1">
        <f>974+95+14+25+231+348+300</f>
        <v>1987</v>
      </c>
      <c r="E152" s="1">
        <f>101+4</f>
        <v>105</v>
      </c>
      <c r="F152" s="1">
        <f>Tabla1[[#This Row],[Peso unitario (gr)]]*Tabla1[[#This Row],[Entregadas]]</f>
        <v>1134</v>
      </c>
      <c r="G152" s="1">
        <f>Tabla1[[#This Row],[Cantidad total (un)]]-Tabla1[[#This Row],[Entregadas]]</f>
        <v>1882</v>
      </c>
      <c r="H152" s="11">
        <f>(Tabla1[[#This Row],[Total disponibles]]*Tabla1[[#This Row],[Peso unitario (gr)]])/1000</f>
        <v>20.325600000000001</v>
      </c>
      <c r="I152" s="14">
        <f>VLOOKUP(Tabla1[[#This Row],[Referencia]],[1]Hoja1!$A$1:$B$301,2,FALSE)</f>
        <v>300</v>
      </c>
      <c r="J152" s="16">
        <f>Tabla1[[#This Row],[Precio unitario]]*Tabla1[[#This Row],[Total disponibles]]</f>
        <v>564600</v>
      </c>
    </row>
    <row r="153" spans="1:10" x14ac:dyDescent="0.25">
      <c r="A153" s="8" t="s">
        <v>161</v>
      </c>
      <c r="B153" s="1">
        <v>10.7</v>
      </c>
      <c r="C153" s="1">
        <f>Tabla1[[#This Row],[Peso unitario (gr)]]*100</f>
        <v>1070</v>
      </c>
      <c r="D153" s="1">
        <v>200</v>
      </c>
      <c r="E153" s="1">
        <v>0</v>
      </c>
      <c r="F153" s="1">
        <f>Tabla1[[#This Row],[Peso unitario (gr)]]*Tabla1[[#This Row],[Entregadas]]</f>
        <v>0</v>
      </c>
      <c r="G153" s="1">
        <f>Tabla1[[#This Row],[Cantidad total (un)]]-Tabla1[[#This Row],[Entregadas]]</f>
        <v>200</v>
      </c>
      <c r="H153" s="11">
        <f>(Tabla1[[#This Row],[Total disponibles]]*Tabla1[[#This Row],[Peso unitario (gr)]])/1000</f>
        <v>2.14</v>
      </c>
      <c r="I153" s="14">
        <f>VLOOKUP(Tabla1[[#This Row],[Referencia]],[1]Hoja1!$A$1:$B$301,2,FALSE)</f>
        <v>750</v>
      </c>
      <c r="J153" s="16">
        <f>Tabla1[[#This Row],[Precio unitario]]*Tabla1[[#This Row],[Total disponibles]]</f>
        <v>150000</v>
      </c>
    </row>
    <row r="154" spans="1:10" x14ac:dyDescent="0.25">
      <c r="A154" s="8" t="s">
        <v>162</v>
      </c>
      <c r="B154" s="1">
        <v>77</v>
      </c>
      <c r="C154" s="1">
        <f>Tabla1[[#This Row],[Peso unitario (gr)]]*100</f>
        <v>7700</v>
      </c>
      <c r="D154" s="1">
        <v>39</v>
      </c>
      <c r="E154" s="1">
        <v>0</v>
      </c>
      <c r="F154" s="1">
        <f>Tabla1[[#This Row],[Peso unitario (gr)]]*Tabla1[[#This Row],[Entregadas]]</f>
        <v>0</v>
      </c>
      <c r="G154" s="1">
        <f>Tabla1[[#This Row],[Cantidad total (un)]]-Tabla1[[#This Row],[Entregadas]]</f>
        <v>39</v>
      </c>
      <c r="H154" s="11">
        <f>(Tabla1[[#This Row],[Total disponibles]]*Tabla1[[#This Row],[Peso unitario (gr)]])/1000</f>
        <v>3.0030000000000001</v>
      </c>
      <c r="I154" s="14">
        <f>VLOOKUP(Tabla1[[#This Row],[Referencia]],[1]Hoja1!$A$1:$B$301,2,FALSE)</f>
        <v>1150</v>
      </c>
      <c r="J154" s="16">
        <f>Tabla1[[#This Row],[Precio unitario]]*Tabla1[[#This Row],[Total disponibles]]</f>
        <v>44850</v>
      </c>
    </row>
    <row r="155" spans="1:10" x14ac:dyDescent="0.25">
      <c r="A155" s="8" t="s">
        <v>163</v>
      </c>
      <c r="B155" s="1">
        <v>119.3</v>
      </c>
      <c r="C155" s="1">
        <f>Tabla1[[#This Row],[Peso unitario (gr)]]*100</f>
        <v>11930</v>
      </c>
      <c r="D155" s="1">
        <v>11</v>
      </c>
      <c r="E155" s="1">
        <v>0</v>
      </c>
      <c r="F155" s="1">
        <f>Tabla1[[#This Row],[Peso unitario (gr)]]*Tabla1[[#This Row],[Entregadas]]</f>
        <v>0</v>
      </c>
      <c r="G155" s="1">
        <f>Tabla1[[#This Row],[Cantidad total (un)]]-Tabla1[[#This Row],[Entregadas]]</f>
        <v>11</v>
      </c>
      <c r="H155" s="11">
        <f>(Tabla1[[#This Row],[Total disponibles]]*Tabla1[[#This Row],[Peso unitario (gr)]])/1000</f>
        <v>1.3123</v>
      </c>
      <c r="I155" s="14">
        <f>VLOOKUP(Tabla1[[#This Row],[Referencia]],[1]Hoja1!$A$1:$B$301,2,FALSE)</f>
        <v>1500</v>
      </c>
      <c r="J155" s="16">
        <f>Tabla1[[#This Row],[Precio unitario]]*Tabla1[[#This Row],[Total disponibles]]</f>
        <v>16500</v>
      </c>
    </row>
    <row r="156" spans="1:10" x14ac:dyDescent="0.25">
      <c r="A156" s="8" t="s">
        <v>164</v>
      </c>
      <c r="B156" s="1">
        <v>156.4</v>
      </c>
      <c r="C156" s="1">
        <f>Tabla1[[#This Row],[Peso unitario (gr)]]*100</f>
        <v>15640</v>
      </c>
      <c r="D156" s="1">
        <v>20</v>
      </c>
      <c r="E156" s="1">
        <v>0</v>
      </c>
      <c r="F156" s="1">
        <f>Tabla1[[#This Row],[Peso unitario (gr)]]*Tabla1[[#This Row],[Entregadas]]</f>
        <v>0</v>
      </c>
      <c r="G156" s="1">
        <f>Tabla1[[#This Row],[Cantidad total (un)]]-Tabla1[[#This Row],[Entregadas]]</f>
        <v>20</v>
      </c>
      <c r="H156" s="11">
        <f>(Tabla1[[#This Row],[Total disponibles]]*Tabla1[[#This Row],[Peso unitario (gr)]])/1000</f>
        <v>3.1280000000000001</v>
      </c>
      <c r="I156" s="14">
        <f>VLOOKUP(Tabla1[[#This Row],[Referencia]],[1]Hoja1!$A$1:$B$301,2,FALSE)</f>
        <v>1800</v>
      </c>
      <c r="J156" s="16">
        <f>Tabla1[[#This Row],[Precio unitario]]*Tabla1[[#This Row],[Total disponibles]]</f>
        <v>36000</v>
      </c>
    </row>
    <row r="157" spans="1:10" x14ac:dyDescent="0.25">
      <c r="A157" s="8" t="s">
        <v>165</v>
      </c>
      <c r="B157" s="1">
        <v>150.69999999999999</v>
      </c>
      <c r="C157" s="1">
        <f>Tabla1[[#This Row],[Peso unitario (gr)]]*100</f>
        <v>15069.999999999998</v>
      </c>
      <c r="D157" s="1">
        <v>30</v>
      </c>
      <c r="E157" s="1">
        <v>0</v>
      </c>
      <c r="F157" s="1">
        <f>Tabla1[[#This Row],[Peso unitario (gr)]]*Tabla1[[#This Row],[Entregadas]]</f>
        <v>0</v>
      </c>
      <c r="G157" s="1">
        <f>Tabla1[[#This Row],[Cantidad total (un)]]-Tabla1[[#This Row],[Entregadas]]</f>
        <v>30</v>
      </c>
      <c r="H157" s="11">
        <f>(Tabla1[[#This Row],[Total disponibles]]*Tabla1[[#This Row],[Peso unitario (gr)]])/1000</f>
        <v>4.5209999999999999</v>
      </c>
      <c r="I157" s="14">
        <f>VLOOKUP(Tabla1[[#This Row],[Referencia]],[1]Hoja1!$A$1:$B$301,2,FALSE)</f>
        <v>1650</v>
      </c>
      <c r="J157" s="16">
        <f>Tabla1[[#This Row],[Precio unitario]]*Tabla1[[#This Row],[Total disponibles]]</f>
        <v>49500</v>
      </c>
    </row>
    <row r="158" spans="1:10" x14ac:dyDescent="0.25">
      <c r="A158" s="8" t="s">
        <v>166</v>
      </c>
      <c r="B158" s="1">
        <v>25.6</v>
      </c>
      <c r="C158" s="1">
        <f>Tabla1[[#This Row],[Peso unitario (gr)]]*100</f>
        <v>2560</v>
      </c>
      <c r="D158" s="1">
        <f>60+77+30</f>
        <v>167</v>
      </c>
      <c r="E158" s="1">
        <v>6</v>
      </c>
      <c r="F158" s="1">
        <f>Tabla1[[#This Row],[Peso unitario (gr)]]*Tabla1[[#This Row],[Entregadas]]</f>
        <v>153.60000000000002</v>
      </c>
      <c r="G158" s="1">
        <f>Tabla1[[#This Row],[Cantidad total (un)]]-Tabla1[[#This Row],[Entregadas]]</f>
        <v>161</v>
      </c>
      <c r="H158" s="11">
        <f>(Tabla1[[#This Row],[Total disponibles]]*Tabla1[[#This Row],[Peso unitario (gr)]])/1000</f>
        <v>4.1215999999999999</v>
      </c>
      <c r="I158" s="14">
        <f>VLOOKUP(Tabla1[[#This Row],[Referencia]],[1]Hoja1!$A$1:$B$301,2,FALSE)</f>
        <v>566</v>
      </c>
      <c r="J158" s="16">
        <f>Tabla1[[#This Row],[Precio unitario]]*Tabla1[[#This Row],[Total disponibles]]</f>
        <v>91126</v>
      </c>
    </row>
    <row r="159" spans="1:10" x14ac:dyDescent="0.25">
      <c r="A159" s="8" t="s">
        <v>167</v>
      </c>
      <c r="B159" s="1">
        <v>32.299999999999997</v>
      </c>
      <c r="C159" s="1">
        <f>Tabla1[[#This Row],[Peso unitario (gr)]]*100</f>
        <v>3229.9999999999995</v>
      </c>
      <c r="D159" s="1">
        <v>346</v>
      </c>
      <c r="E159" s="1">
        <v>8</v>
      </c>
      <c r="F159" s="1">
        <f>Tabla1[[#This Row],[Peso unitario (gr)]]*Tabla1[[#This Row],[Entregadas]]</f>
        <v>258.39999999999998</v>
      </c>
      <c r="G159" s="1">
        <f>Tabla1[[#This Row],[Cantidad total (un)]]-Tabla1[[#This Row],[Entregadas]]</f>
        <v>338</v>
      </c>
      <c r="H159" s="11">
        <f>(Tabla1[[#This Row],[Total disponibles]]*Tabla1[[#This Row],[Peso unitario (gr)]])/1000</f>
        <v>10.917399999999999</v>
      </c>
      <c r="I159" s="14">
        <f>VLOOKUP(Tabla1[[#This Row],[Referencia]],[1]Hoja1!$A$1:$B$301,2,FALSE)</f>
        <v>680</v>
      </c>
      <c r="J159" s="16">
        <f>Tabla1[[#This Row],[Precio unitario]]*Tabla1[[#This Row],[Total disponibles]]</f>
        <v>229840</v>
      </c>
    </row>
    <row r="160" spans="1:10" x14ac:dyDescent="0.25">
      <c r="A160" s="8" t="s">
        <v>168</v>
      </c>
      <c r="B160" s="1">
        <v>62</v>
      </c>
      <c r="C160" s="1">
        <f>Tabla1[[#This Row],[Peso unitario (gr)]]*100</f>
        <v>6200</v>
      </c>
      <c r="D160" s="1">
        <v>7</v>
      </c>
      <c r="E160" s="1">
        <v>0</v>
      </c>
      <c r="F160" s="1">
        <f>Tabla1[[#This Row],[Peso unitario (gr)]]*Tabla1[[#This Row],[Entregadas]]</f>
        <v>0</v>
      </c>
      <c r="G160" s="1">
        <f>Tabla1[[#This Row],[Cantidad total (un)]]-Tabla1[[#This Row],[Entregadas]]</f>
        <v>7</v>
      </c>
      <c r="H160" s="11">
        <f>(Tabla1[[#This Row],[Total disponibles]]*Tabla1[[#This Row],[Peso unitario (gr)]])/1000</f>
        <v>0.434</v>
      </c>
      <c r="I160" s="14">
        <f>VLOOKUP(Tabla1[[#This Row],[Referencia]],[1]Hoja1!$A$1:$B$301,2,FALSE)</f>
        <v>1160</v>
      </c>
      <c r="J160" s="16">
        <f>Tabla1[[#This Row],[Precio unitario]]*Tabla1[[#This Row],[Total disponibles]]</f>
        <v>8120</v>
      </c>
    </row>
    <row r="161" spans="1:10" x14ac:dyDescent="0.25">
      <c r="A161" s="8" t="s">
        <v>169</v>
      </c>
      <c r="B161" s="1">
        <v>47.4</v>
      </c>
      <c r="C161" s="1">
        <f>Tabla1[[#This Row],[Peso unitario (gr)]]*100</f>
        <v>4740</v>
      </c>
      <c r="D161" s="1">
        <v>50</v>
      </c>
      <c r="E161" s="1">
        <v>0</v>
      </c>
      <c r="F161" s="1">
        <f>Tabla1[[#This Row],[Peso unitario (gr)]]*Tabla1[[#This Row],[Entregadas]]</f>
        <v>0</v>
      </c>
      <c r="G161" s="1">
        <f>Tabla1[[#This Row],[Cantidad total (un)]]-Tabla1[[#This Row],[Entregadas]]</f>
        <v>50</v>
      </c>
      <c r="H161" s="11">
        <f>(Tabla1[[#This Row],[Total disponibles]]*Tabla1[[#This Row],[Peso unitario (gr)]])/1000</f>
        <v>2.37</v>
      </c>
      <c r="I161" s="14">
        <f>VLOOKUP(Tabla1[[#This Row],[Referencia]],[1]Hoja1!$A$1:$B$301,2,FALSE)</f>
        <v>600</v>
      </c>
      <c r="J161" s="16">
        <f>Tabla1[[#This Row],[Precio unitario]]*Tabla1[[#This Row],[Total disponibles]]</f>
        <v>30000</v>
      </c>
    </row>
    <row r="162" spans="1:10" x14ac:dyDescent="0.25">
      <c r="A162" s="8" t="s">
        <v>170</v>
      </c>
      <c r="B162" s="1">
        <v>14.7</v>
      </c>
      <c r="C162" s="1">
        <f>Tabla1[[#This Row],[Peso unitario (gr)]]*100</f>
        <v>1470</v>
      </c>
      <c r="D162" s="1">
        <v>21</v>
      </c>
      <c r="E162" s="1">
        <v>0</v>
      </c>
      <c r="F162" s="1">
        <f>Tabla1[[#This Row],[Peso unitario (gr)]]*Tabla1[[#This Row],[Entregadas]]</f>
        <v>0</v>
      </c>
      <c r="G162" s="1">
        <f>Tabla1[[#This Row],[Cantidad total (un)]]-Tabla1[[#This Row],[Entregadas]]</f>
        <v>21</v>
      </c>
      <c r="H162" s="11">
        <f>(Tabla1[[#This Row],[Total disponibles]]*Tabla1[[#This Row],[Peso unitario (gr)]])/1000</f>
        <v>0.30869999999999997</v>
      </c>
      <c r="I162" s="14">
        <f>VLOOKUP(Tabla1[[#This Row],[Referencia]],[1]Hoja1!$A$1:$B$301,2,FALSE)</f>
        <v>350</v>
      </c>
      <c r="J162" s="16">
        <f>Tabla1[[#This Row],[Precio unitario]]*Tabla1[[#This Row],[Total disponibles]]</f>
        <v>7350</v>
      </c>
    </row>
    <row r="163" spans="1:10" x14ac:dyDescent="0.25">
      <c r="A163" s="8" t="s">
        <v>171</v>
      </c>
      <c r="B163" s="1">
        <v>19.3</v>
      </c>
      <c r="C163" s="1">
        <f>Tabla1[[#This Row],[Peso unitario (gr)]]*100</f>
        <v>1930</v>
      </c>
      <c r="D163" s="1">
        <v>88</v>
      </c>
      <c r="E163" s="1">
        <v>0</v>
      </c>
      <c r="F163" s="1">
        <f>Tabla1[[#This Row],[Peso unitario (gr)]]*Tabla1[[#This Row],[Entregadas]]</f>
        <v>0</v>
      </c>
      <c r="G163" s="1">
        <f>Tabla1[[#This Row],[Cantidad total (un)]]-Tabla1[[#This Row],[Entregadas]]</f>
        <v>88</v>
      </c>
      <c r="H163" s="11">
        <f>(Tabla1[[#This Row],[Total disponibles]]*Tabla1[[#This Row],[Peso unitario (gr)]])/1000</f>
        <v>1.6984000000000001</v>
      </c>
      <c r="I163" s="14">
        <f>VLOOKUP(Tabla1[[#This Row],[Referencia]],[1]Hoja1!$A$1:$B$301,2,FALSE)</f>
        <v>350</v>
      </c>
      <c r="J163" s="16">
        <f>Tabla1[[#This Row],[Precio unitario]]*Tabla1[[#This Row],[Total disponibles]]</f>
        <v>30800</v>
      </c>
    </row>
    <row r="164" spans="1:10" x14ac:dyDescent="0.25">
      <c r="A164" s="8" t="s">
        <v>172</v>
      </c>
      <c r="B164" s="1">
        <v>28.6</v>
      </c>
      <c r="C164" s="1">
        <f>Tabla1[[#This Row],[Peso unitario (gr)]]*100</f>
        <v>2860</v>
      </c>
      <c r="D164" s="1">
        <v>78</v>
      </c>
      <c r="E164" s="1">
        <v>0</v>
      </c>
      <c r="F164" s="1">
        <f>Tabla1[[#This Row],[Peso unitario (gr)]]*Tabla1[[#This Row],[Entregadas]]</f>
        <v>0</v>
      </c>
      <c r="G164" s="1">
        <f>Tabla1[[#This Row],[Cantidad total (un)]]-Tabla1[[#This Row],[Entregadas]]</f>
        <v>78</v>
      </c>
      <c r="H164" s="11">
        <f>(Tabla1[[#This Row],[Total disponibles]]*Tabla1[[#This Row],[Peso unitario (gr)]])/1000</f>
        <v>2.2308000000000003</v>
      </c>
      <c r="I164" s="14">
        <f>VLOOKUP(Tabla1[[#This Row],[Referencia]],[1]Hoja1!$A$1:$B$301,2,FALSE)</f>
        <v>350</v>
      </c>
      <c r="J164" s="16">
        <f>Tabla1[[#This Row],[Precio unitario]]*Tabla1[[#This Row],[Total disponibles]]</f>
        <v>27300</v>
      </c>
    </row>
    <row r="165" spans="1:10" x14ac:dyDescent="0.25">
      <c r="A165" s="8" t="s">
        <v>173</v>
      </c>
      <c r="B165" s="1">
        <v>26.5</v>
      </c>
      <c r="C165" s="1">
        <f>Tabla1[[#This Row],[Peso unitario (gr)]]*100</f>
        <v>2650</v>
      </c>
      <c r="D165" s="1">
        <v>182</v>
      </c>
      <c r="E165" s="1">
        <v>0</v>
      </c>
      <c r="F165" s="1">
        <f>Tabla1[[#This Row],[Peso unitario (gr)]]*Tabla1[[#This Row],[Entregadas]]</f>
        <v>0</v>
      </c>
      <c r="G165" s="1">
        <f>Tabla1[[#This Row],[Cantidad total (un)]]-Tabla1[[#This Row],[Entregadas]]</f>
        <v>182</v>
      </c>
      <c r="H165" s="11">
        <f>(Tabla1[[#This Row],[Total disponibles]]*Tabla1[[#This Row],[Peso unitario (gr)]])/1000</f>
        <v>4.8230000000000004</v>
      </c>
      <c r="I165" s="14">
        <f>VLOOKUP(Tabla1[[#This Row],[Referencia]],[1]Hoja1!$A$1:$B$301,2,FALSE)</f>
        <v>300</v>
      </c>
      <c r="J165" s="16">
        <f>Tabla1[[#This Row],[Precio unitario]]*Tabla1[[#This Row],[Total disponibles]]</f>
        <v>54600</v>
      </c>
    </row>
    <row r="166" spans="1:10" x14ac:dyDescent="0.25">
      <c r="A166" s="8" t="s">
        <v>174</v>
      </c>
      <c r="B166" s="1">
        <v>36.200000000000003</v>
      </c>
      <c r="C166" s="1">
        <f>Tabla1[[#This Row],[Peso unitario (gr)]]*100</f>
        <v>3620.0000000000005</v>
      </c>
      <c r="D166" s="1">
        <v>114</v>
      </c>
      <c r="E166" s="1">
        <v>0</v>
      </c>
      <c r="F166" s="1">
        <f>Tabla1[[#This Row],[Peso unitario (gr)]]*Tabla1[[#This Row],[Entregadas]]</f>
        <v>0</v>
      </c>
      <c r="G166" s="1">
        <f>Tabla1[[#This Row],[Cantidad total (un)]]-Tabla1[[#This Row],[Entregadas]]</f>
        <v>114</v>
      </c>
      <c r="H166" s="11">
        <f>(Tabla1[[#This Row],[Total disponibles]]*Tabla1[[#This Row],[Peso unitario (gr)]])/1000</f>
        <v>4.1268000000000002</v>
      </c>
      <c r="I166" s="14">
        <f>VLOOKUP(Tabla1[[#This Row],[Referencia]],[1]Hoja1!$A$1:$B$301,2,FALSE)</f>
        <v>350</v>
      </c>
      <c r="J166" s="16">
        <f>Tabla1[[#This Row],[Precio unitario]]*Tabla1[[#This Row],[Total disponibles]]</f>
        <v>39900</v>
      </c>
    </row>
    <row r="167" spans="1:10" x14ac:dyDescent="0.25">
      <c r="A167" s="8" t="s">
        <v>175</v>
      </c>
      <c r="B167" s="1">
        <v>1.3</v>
      </c>
      <c r="C167" s="1">
        <f>Tabla1[[#This Row],[Peso unitario (gr)]]*100</f>
        <v>130</v>
      </c>
      <c r="D167" s="1">
        <v>1934</v>
      </c>
      <c r="E167" s="1">
        <v>0</v>
      </c>
      <c r="F167" s="1">
        <f>Tabla1[[#This Row],[Peso unitario (gr)]]*Tabla1[[#This Row],[Entregadas]]</f>
        <v>0</v>
      </c>
      <c r="G167" s="1">
        <f>Tabla1[[#This Row],[Cantidad total (un)]]-Tabla1[[#This Row],[Entregadas]]</f>
        <v>1934</v>
      </c>
      <c r="H167" s="11">
        <f>(Tabla1[[#This Row],[Total disponibles]]*Tabla1[[#This Row],[Peso unitario (gr)]])/1000</f>
        <v>2.5142000000000002</v>
      </c>
      <c r="I167" s="14">
        <f>VLOOKUP(Tabla1[[#This Row],[Referencia]],[1]Hoja1!$A$1:$B$301,2,FALSE)</f>
        <v>800</v>
      </c>
      <c r="J167" s="16">
        <f>Tabla1[[#This Row],[Precio unitario]]*Tabla1[[#This Row],[Total disponibles]]</f>
        <v>1547200</v>
      </c>
    </row>
    <row r="168" spans="1:10" x14ac:dyDescent="0.25">
      <c r="A168" s="8" t="s">
        <v>176</v>
      </c>
      <c r="B168" s="1">
        <v>2.8</v>
      </c>
      <c r="C168" s="1">
        <f>Tabla1[[#This Row],[Peso unitario (gr)]]*100</f>
        <v>280</v>
      </c>
      <c r="D168" s="1">
        <v>1194</v>
      </c>
      <c r="E168" s="1">
        <v>4</v>
      </c>
      <c r="F168" s="1">
        <f>Tabla1[[#This Row],[Peso unitario (gr)]]*Tabla1[[#This Row],[Entregadas]]</f>
        <v>11.2</v>
      </c>
      <c r="G168" s="1">
        <f>Tabla1[[#This Row],[Cantidad total (un)]]-Tabla1[[#This Row],[Entregadas]]</f>
        <v>1190</v>
      </c>
      <c r="H168" s="11">
        <f>(Tabla1[[#This Row],[Total disponibles]]*Tabla1[[#This Row],[Peso unitario (gr)]])/1000</f>
        <v>3.3319999999999999</v>
      </c>
      <c r="I168" s="14">
        <f>VLOOKUP(Tabla1[[#This Row],[Referencia]],[1]Hoja1!$A$1:$B$301,2,FALSE)</f>
        <v>900</v>
      </c>
      <c r="J168" s="16">
        <f>Tabla1[[#This Row],[Precio unitario]]*Tabla1[[#This Row],[Total disponibles]]</f>
        <v>1071000</v>
      </c>
    </row>
    <row r="169" spans="1:10" x14ac:dyDescent="0.25">
      <c r="A169" s="8" t="s">
        <v>177</v>
      </c>
      <c r="B169" s="1">
        <v>5.4</v>
      </c>
      <c r="C169" s="1">
        <f>Tabla1[[#This Row],[Peso unitario (gr)]]*100</f>
        <v>540</v>
      </c>
      <c r="D169" s="1">
        <v>127</v>
      </c>
      <c r="E169" s="1">
        <v>0</v>
      </c>
      <c r="F169" s="1">
        <f>Tabla1[[#This Row],[Peso unitario (gr)]]*Tabla1[[#This Row],[Entregadas]]</f>
        <v>0</v>
      </c>
      <c r="G169" s="1">
        <f>Tabla1[[#This Row],[Cantidad total (un)]]-Tabla1[[#This Row],[Entregadas]]</f>
        <v>127</v>
      </c>
      <c r="H169" s="11">
        <f>(Tabla1[[#This Row],[Total disponibles]]*Tabla1[[#This Row],[Peso unitario (gr)]])/1000</f>
        <v>0.68580000000000008</v>
      </c>
      <c r="I169" s="14">
        <f>VLOOKUP(Tabla1[[#This Row],[Referencia]],[1]Hoja1!$A$1:$B$301,2,FALSE)</f>
        <v>1000</v>
      </c>
      <c r="J169" s="16">
        <f>Tabla1[[#This Row],[Precio unitario]]*Tabla1[[#This Row],[Total disponibles]]</f>
        <v>127000</v>
      </c>
    </row>
    <row r="170" spans="1:10" x14ac:dyDescent="0.25">
      <c r="A170" s="8" t="s">
        <v>178</v>
      </c>
      <c r="B170" s="1">
        <v>0</v>
      </c>
      <c r="C170" s="1">
        <v>0</v>
      </c>
      <c r="D170" s="1">
        <v>0</v>
      </c>
      <c r="E170" s="1">
        <v>0</v>
      </c>
      <c r="F170" s="1">
        <f>Tabla1[[#This Row],[Peso unitario (gr)]]*Tabla1[[#This Row],[Entregadas]]</f>
        <v>0</v>
      </c>
      <c r="G170" s="1">
        <f>Tabla1[[#This Row],[Cantidad total (un)]]-Tabla1[[#This Row],[Entregadas]]</f>
        <v>0</v>
      </c>
      <c r="H170" s="11">
        <f>(Tabla1[[#This Row],[Total disponibles]]*Tabla1[[#This Row],[Peso unitario (gr)]])/1000</f>
        <v>0</v>
      </c>
      <c r="I170" s="14">
        <f>VLOOKUP(Tabla1[[#This Row],[Referencia]],[1]Hoja1!$A$1:$B$301,2,FALSE)</f>
        <v>800</v>
      </c>
      <c r="J170" s="16">
        <f>Tabla1[[#This Row],[Precio unitario]]*Tabla1[[#This Row],[Total disponibles]]</f>
        <v>0</v>
      </c>
    </row>
    <row r="171" spans="1:10" x14ac:dyDescent="0.25">
      <c r="A171" s="8" t="s">
        <v>179</v>
      </c>
      <c r="B171" s="1">
        <v>0</v>
      </c>
      <c r="C171" s="1">
        <v>0</v>
      </c>
      <c r="D171" s="1">
        <v>0</v>
      </c>
      <c r="E171" s="1">
        <v>0</v>
      </c>
      <c r="F171" s="1">
        <f>Tabla1[[#This Row],[Peso unitario (gr)]]*Tabla1[[#This Row],[Entregadas]]</f>
        <v>0</v>
      </c>
      <c r="G171" s="1">
        <f>Tabla1[[#This Row],[Cantidad total (un)]]-Tabla1[[#This Row],[Entregadas]]</f>
        <v>0</v>
      </c>
      <c r="H171" s="11">
        <f>(Tabla1[[#This Row],[Total disponibles]]*Tabla1[[#This Row],[Peso unitario (gr)]])/1000</f>
        <v>0</v>
      </c>
      <c r="I171" s="14">
        <f>VLOOKUP(Tabla1[[#This Row],[Referencia]],[1]Hoja1!$A$1:$B$301,2,FALSE)</f>
        <v>800</v>
      </c>
      <c r="J171" s="16">
        <f>Tabla1[[#This Row],[Precio unitario]]*Tabla1[[#This Row],[Total disponibles]]</f>
        <v>0</v>
      </c>
    </row>
    <row r="172" spans="1:10" x14ac:dyDescent="0.25">
      <c r="A172" s="8" t="s">
        <v>180</v>
      </c>
      <c r="B172" s="1">
        <v>0</v>
      </c>
      <c r="C172" s="1">
        <v>0</v>
      </c>
      <c r="D172" s="1">
        <v>0</v>
      </c>
      <c r="E172" s="1">
        <v>0</v>
      </c>
      <c r="F172" s="1">
        <f>Tabla1[[#This Row],[Peso unitario (gr)]]*Tabla1[[#This Row],[Entregadas]]</f>
        <v>0</v>
      </c>
      <c r="G172" s="1">
        <f>Tabla1[[#This Row],[Cantidad total (un)]]-Tabla1[[#This Row],[Entregadas]]</f>
        <v>0</v>
      </c>
      <c r="H172" s="11">
        <f>(Tabla1[[#This Row],[Total disponibles]]*Tabla1[[#This Row],[Peso unitario (gr)]])/1000</f>
        <v>0</v>
      </c>
      <c r="I172" s="14">
        <f>VLOOKUP(Tabla1[[#This Row],[Referencia]],[1]Hoja1!$A$1:$B$301,2,FALSE)</f>
        <v>900</v>
      </c>
      <c r="J172" s="16">
        <f>Tabla1[[#This Row],[Precio unitario]]*Tabla1[[#This Row],[Total disponibles]]</f>
        <v>0</v>
      </c>
    </row>
    <row r="173" spans="1:10" x14ac:dyDescent="0.25">
      <c r="A173" s="8" t="s">
        <v>181</v>
      </c>
      <c r="B173" s="1">
        <v>1.6</v>
      </c>
      <c r="C173" s="1">
        <f>Tabla1[[#This Row],[Peso unitario (gr)]]*100</f>
        <v>160</v>
      </c>
      <c r="D173" s="1">
        <v>1444</v>
      </c>
      <c r="E173" s="1">
        <v>0</v>
      </c>
      <c r="F173" s="1">
        <f>Tabla1[[#This Row],[Peso unitario (gr)]]*Tabla1[[#This Row],[Entregadas]]</f>
        <v>0</v>
      </c>
      <c r="G173" s="1">
        <f>Tabla1[[#This Row],[Cantidad total (un)]]-Tabla1[[#This Row],[Entregadas]]</f>
        <v>1444</v>
      </c>
      <c r="H173" s="11">
        <f>(Tabla1[[#This Row],[Total disponibles]]*Tabla1[[#This Row],[Peso unitario (gr)]])/1000</f>
        <v>2.3104</v>
      </c>
      <c r="I173" s="14">
        <f>VLOOKUP(Tabla1[[#This Row],[Referencia]],[1]Hoja1!$A$1:$B$301,2,FALSE)</f>
        <v>800</v>
      </c>
      <c r="J173" s="16">
        <f>Tabla1[[#This Row],[Precio unitario]]*Tabla1[[#This Row],[Total disponibles]]</f>
        <v>1155200</v>
      </c>
    </row>
    <row r="174" spans="1:10" x14ac:dyDescent="0.25">
      <c r="A174" s="8" t="s">
        <v>182</v>
      </c>
      <c r="B174" s="1">
        <v>3.1</v>
      </c>
      <c r="C174" s="1">
        <f>Tabla1[[#This Row],[Peso unitario (gr)]]*100</f>
        <v>310</v>
      </c>
      <c r="D174" s="1">
        <v>245</v>
      </c>
      <c r="E174" s="1">
        <v>0</v>
      </c>
      <c r="F174" s="1">
        <f>Tabla1[[#This Row],[Peso unitario (gr)]]*Tabla1[[#This Row],[Entregadas]]</f>
        <v>0</v>
      </c>
      <c r="G174" s="1">
        <f>Tabla1[[#This Row],[Cantidad total (un)]]-Tabla1[[#This Row],[Entregadas]]</f>
        <v>245</v>
      </c>
      <c r="H174" s="11">
        <f>(Tabla1[[#This Row],[Total disponibles]]*Tabla1[[#This Row],[Peso unitario (gr)]])/1000</f>
        <v>0.75949999999999995</v>
      </c>
      <c r="I174" s="14">
        <f>VLOOKUP(Tabla1[[#This Row],[Referencia]],[1]Hoja1!$A$1:$B$301,2,FALSE)</f>
        <v>900</v>
      </c>
      <c r="J174" s="16">
        <f>Tabla1[[#This Row],[Precio unitario]]*Tabla1[[#This Row],[Total disponibles]]</f>
        <v>220500</v>
      </c>
    </row>
    <row r="175" spans="1:10" x14ac:dyDescent="0.25">
      <c r="A175" s="8" t="s">
        <v>183</v>
      </c>
      <c r="B175" s="1">
        <v>4.3</v>
      </c>
      <c r="C175" s="1">
        <f>Tabla1[[#This Row],[Peso unitario (gr)]]*100</f>
        <v>430</v>
      </c>
      <c r="D175" s="1">
        <v>57</v>
      </c>
      <c r="E175" s="1">
        <v>0</v>
      </c>
      <c r="F175" s="1">
        <f>Tabla1[[#This Row],[Peso unitario (gr)]]*Tabla1[[#This Row],[Entregadas]]</f>
        <v>0</v>
      </c>
      <c r="G175" s="1">
        <f>Tabla1[[#This Row],[Cantidad total (un)]]-Tabla1[[#This Row],[Entregadas]]</f>
        <v>57</v>
      </c>
      <c r="H175" s="11">
        <f>(Tabla1[[#This Row],[Total disponibles]]*Tabla1[[#This Row],[Peso unitario (gr)]])/1000</f>
        <v>0.24509999999999998</v>
      </c>
      <c r="I175" s="14">
        <f>VLOOKUP(Tabla1[[#This Row],[Referencia]],[1]Hoja1!$A$1:$B$301,2,FALSE)</f>
        <v>1000</v>
      </c>
      <c r="J175" s="16">
        <f>Tabla1[[#This Row],[Precio unitario]]*Tabla1[[#This Row],[Total disponibles]]</f>
        <v>57000</v>
      </c>
    </row>
    <row r="176" spans="1:10" x14ac:dyDescent="0.25">
      <c r="A176" s="8" t="s">
        <v>184</v>
      </c>
      <c r="B176" s="1">
        <v>0</v>
      </c>
      <c r="C176" s="1">
        <v>0</v>
      </c>
      <c r="D176" s="1">
        <v>0</v>
      </c>
      <c r="E176" s="1">
        <v>0</v>
      </c>
      <c r="F176" s="1">
        <f>Tabla1[[#This Row],[Peso unitario (gr)]]*Tabla1[[#This Row],[Entregadas]]</f>
        <v>0</v>
      </c>
      <c r="G176" s="1">
        <f>Tabla1[[#This Row],[Cantidad total (un)]]-Tabla1[[#This Row],[Entregadas]]</f>
        <v>0</v>
      </c>
      <c r="H176" s="11">
        <f>(Tabla1[[#This Row],[Total disponibles]]*Tabla1[[#This Row],[Peso unitario (gr)]])/1000</f>
        <v>0</v>
      </c>
      <c r="I176" s="14">
        <f>VLOOKUP(Tabla1[[#This Row],[Referencia]],[1]Hoja1!$A$1:$B$301,2,FALSE)</f>
        <v>305</v>
      </c>
      <c r="J176" s="16">
        <f>Tabla1[[#This Row],[Precio unitario]]*Tabla1[[#This Row],[Total disponibles]]</f>
        <v>0</v>
      </c>
    </row>
    <row r="177" spans="1:10" x14ac:dyDescent="0.25">
      <c r="A177" s="8" t="s">
        <v>185</v>
      </c>
      <c r="B177" s="1">
        <v>49.5</v>
      </c>
      <c r="C177" s="1">
        <f>Tabla1[[#This Row],[Peso unitario (gr)]]*100</f>
        <v>4950</v>
      </c>
      <c r="D177" s="1">
        <v>9</v>
      </c>
      <c r="E177" s="1">
        <v>3</v>
      </c>
      <c r="F177" s="1">
        <f>Tabla1[[#This Row],[Peso unitario (gr)]]*Tabla1[[#This Row],[Entregadas]]</f>
        <v>148.5</v>
      </c>
      <c r="G177" s="1">
        <f>Tabla1[[#This Row],[Cantidad total (un)]]-Tabla1[[#This Row],[Entregadas]]</f>
        <v>6</v>
      </c>
      <c r="H177" s="11">
        <f>(Tabla1[[#This Row],[Total disponibles]]*Tabla1[[#This Row],[Peso unitario (gr)]])/1000</f>
        <v>0.29699999999999999</v>
      </c>
      <c r="I177" s="14">
        <f>VLOOKUP(Tabla1[[#This Row],[Referencia]],[1]Hoja1!$A$1:$B$301,2,FALSE)</f>
        <v>1800</v>
      </c>
      <c r="J177" s="16">
        <f>Tabla1[[#This Row],[Precio unitario]]*Tabla1[[#This Row],[Total disponibles]]</f>
        <v>10800</v>
      </c>
    </row>
    <row r="178" spans="1:10" x14ac:dyDescent="0.25">
      <c r="A178" s="8" t="s">
        <v>186</v>
      </c>
      <c r="B178" s="1">
        <v>6.8</v>
      </c>
      <c r="C178" s="1">
        <f>Tabla1[[#This Row],[Peso unitario (gr)]]*100</f>
        <v>680</v>
      </c>
      <c r="D178" s="1">
        <f>196+500</f>
        <v>696</v>
      </c>
      <c r="E178" s="1">
        <f>196+10</f>
        <v>206</v>
      </c>
      <c r="F178" s="1">
        <f>Tabla1[[#This Row],[Peso unitario (gr)]]*Tabla1[[#This Row],[Entregadas]]</f>
        <v>1400.8</v>
      </c>
      <c r="G178" s="1">
        <f>Tabla1[[#This Row],[Cantidad total (un)]]-Tabla1[[#This Row],[Entregadas]]</f>
        <v>490</v>
      </c>
      <c r="H178" s="11">
        <f>(Tabla1[[#This Row],[Total disponibles]]*Tabla1[[#This Row],[Peso unitario (gr)]])/1000</f>
        <v>3.3319999999999999</v>
      </c>
      <c r="I178" s="14">
        <f>VLOOKUP(Tabla1[[#This Row],[Referencia]],[1]Hoja1!$A$1:$B$301,2,FALSE)</f>
        <v>205</v>
      </c>
      <c r="J178" s="16">
        <f>Tabla1[[#This Row],[Precio unitario]]*Tabla1[[#This Row],[Total disponibles]]</f>
        <v>100450</v>
      </c>
    </row>
    <row r="179" spans="1:10" x14ac:dyDescent="0.25">
      <c r="A179" s="8" t="s">
        <v>187</v>
      </c>
      <c r="B179" s="1">
        <v>6.8</v>
      </c>
      <c r="C179" s="1">
        <f>Tabla1[[#This Row],[Peso unitario (gr)]]*100</f>
        <v>680</v>
      </c>
      <c r="D179" s="1">
        <v>133</v>
      </c>
      <c r="E179" s="1">
        <v>0</v>
      </c>
      <c r="F179" s="1">
        <f>Tabla1[[#This Row],[Peso unitario (gr)]]*Tabla1[[#This Row],[Entregadas]]</f>
        <v>0</v>
      </c>
      <c r="G179" s="1">
        <f>Tabla1[[#This Row],[Cantidad total (un)]]-Tabla1[[#This Row],[Entregadas]]</f>
        <v>133</v>
      </c>
      <c r="H179" s="11">
        <f>(Tabla1[[#This Row],[Total disponibles]]*Tabla1[[#This Row],[Peso unitario (gr)]])/1000</f>
        <v>0.90439999999999998</v>
      </c>
      <c r="I179" s="14">
        <f>VLOOKUP(Tabla1[[#This Row],[Referencia]],[1]Hoja1!$A$1:$B$301,2,FALSE)</f>
        <v>370</v>
      </c>
      <c r="J179" s="16">
        <f>Tabla1[[#This Row],[Precio unitario]]*Tabla1[[#This Row],[Total disponibles]]</f>
        <v>49210</v>
      </c>
    </row>
    <row r="180" spans="1:10" x14ac:dyDescent="0.25">
      <c r="A180" s="8" t="s">
        <v>188</v>
      </c>
      <c r="B180" s="1">
        <v>78.599999999999994</v>
      </c>
      <c r="C180" s="1">
        <f>Tabla1[[#This Row],[Peso unitario (gr)]]*100</f>
        <v>7859.9999999999991</v>
      </c>
      <c r="D180" s="1">
        <v>21</v>
      </c>
      <c r="E180" s="1">
        <v>0</v>
      </c>
      <c r="F180" s="1">
        <f>Tabla1[[#This Row],[Peso unitario (gr)]]*Tabla1[[#This Row],[Entregadas]]</f>
        <v>0</v>
      </c>
      <c r="G180" s="1">
        <f>Tabla1[[#This Row],[Cantidad total (un)]]-Tabla1[[#This Row],[Entregadas]]</f>
        <v>21</v>
      </c>
      <c r="H180" s="11">
        <f>(Tabla1[[#This Row],[Total disponibles]]*Tabla1[[#This Row],[Peso unitario (gr)]])/1000</f>
        <v>1.6505999999999998</v>
      </c>
      <c r="I180" s="14">
        <f>VLOOKUP(Tabla1[[#This Row],[Referencia]],[1]Hoja1!$A$1:$B$301,2,FALSE)</f>
        <v>1600</v>
      </c>
      <c r="J180" s="16">
        <f>Tabla1[[#This Row],[Precio unitario]]*Tabla1[[#This Row],[Total disponibles]]</f>
        <v>33600</v>
      </c>
    </row>
    <row r="181" spans="1:10" x14ac:dyDescent="0.25">
      <c r="A181" s="8" t="s">
        <v>189</v>
      </c>
      <c r="B181" s="1">
        <v>5.5</v>
      </c>
      <c r="C181" s="1">
        <f>Tabla1[[#This Row],[Peso unitario (gr)]]*100</f>
        <v>550</v>
      </c>
      <c r="D181" s="1">
        <v>148</v>
      </c>
      <c r="E181" s="1">
        <v>0</v>
      </c>
      <c r="F181" s="1">
        <f>Tabla1[[#This Row],[Peso unitario (gr)]]*Tabla1[[#This Row],[Entregadas]]</f>
        <v>0</v>
      </c>
      <c r="G181" s="1">
        <f>Tabla1[[#This Row],[Cantidad total (un)]]-Tabla1[[#This Row],[Entregadas]]</f>
        <v>148</v>
      </c>
      <c r="H181" s="11">
        <f>(Tabla1[[#This Row],[Total disponibles]]*Tabla1[[#This Row],[Peso unitario (gr)]])/1000</f>
        <v>0.81399999999999995</v>
      </c>
      <c r="I181" s="14">
        <f>VLOOKUP(Tabla1[[#This Row],[Referencia]],[1]Hoja1!$A$1:$B$301,2,FALSE)</f>
        <v>1450</v>
      </c>
      <c r="J181" s="16">
        <f>Tabla1[[#This Row],[Precio unitario]]*Tabla1[[#This Row],[Total disponibles]]</f>
        <v>214600</v>
      </c>
    </row>
    <row r="182" spans="1:10" x14ac:dyDescent="0.25">
      <c r="A182" s="8" t="s">
        <v>190</v>
      </c>
      <c r="B182" s="1">
        <v>3.5</v>
      </c>
      <c r="C182" s="1">
        <f>Tabla1[[#This Row],[Peso unitario (gr)]]*100</f>
        <v>350</v>
      </c>
      <c r="D182" s="1">
        <f>137+55</f>
        <v>192</v>
      </c>
      <c r="E182" s="1">
        <v>0</v>
      </c>
      <c r="F182" s="1">
        <f>Tabla1[[#This Row],[Peso unitario (gr)]]*Tabla1[[#This Row],[Entregadas]]</f>
        <v>0</v>
      </c>
      <c r="G182" s="1">
        <f>Tabla1[[#This Row],[Cantidad total (un)]]-Tabla1[[#This Row],[Entregadas]]</f>
        <v>192</v>
      </c>
      <c r="H182" s="11">
        <f>(Tabla1[[#This Row],[Total disponibles]]*Tabla1[[#This Row],[Peso unitario (gr)]])/1000</f>
        <v>0.67200000000000004</v>
      </c>
      <c r="I182" s="14">
        <f>VLOOKUP(Tabla1[[#This Row],[Referencia]],[1]Hoja1!$A$1:$B$301,2,FALSE)</f>
        <v>1500</v>
      </c>
      <c r="J182" s="16">
        <f>Tabla1[[#This Row],[Precio unitario]]*Tabla1[[#This Row],[Total disponibles]]</f>
        <v>288000</v>
      </c>
    </row>
    <row r="183" spans="1:10" x14ac:dyDescent="0.25">
      <c r="A183" s="8" t="s">
        <v>191</v>
      </c>
      <c r="B183" s="1">
        <v>7.9</v>
      </c>
      <c r="C183" s="1">
        <f>Tabla1[[#This Row],[Peso unitario (gr)]]*100</f>
        <v>790</v>
      </c>
      <c r="D183" s="1">
        <f>215+146+217+300</f>
        <v>878</v>
      </c>
      <c r="E183" s="1">
        <f>40+20+300+8+3+200</f>
        <v>571</v>
      </c>
      <c r="F183" s="1">
        <f>Tabla1[[#This Row],[Peso unitario (gr)]]*Tabla1[[#This Row],[Entregadas]]</f>
        <v>4510.9000000000005</v>
      </c>
      <c r="G183" s="1">
        <f>Tabla1[[#This Row],[Cantidad total (un)]]-Tabla1[[#This Row],[Entregadas]]</f>
        <v>307</v>
      </c>
      <c r="H183" s="11">
        <f>(Tabla1[[#This Row],[Total disponibles]]*Tabla1[[#This Row],[Peso unitario (gr)]])/1000</f>
        <v>2.4253</v>
      </c>
      <c r="I183" s="14">
        <f>VLOOKUP(Tabla1[[#This Row],[Referencia]],[1]Hoja1!$A$1:$B$301,2,FALSE)</f>
        <v>435</v>
      </c>
      <c r="J183" s="16">
        <f>Tabla1[[#This Row],[Precio unitario]]*Tabla1[[#This Row],[Total disponibles]]</f>
        <v>133545</v>
      </c>
    </row>
    <row r="184" spans="1:10" x14ac:dyDescent="0.25">
      <c r="A184" s="8" t="s">
        <v>192</v>
      </c>
      <c r="B184" s="1">
        <v>8.3000000000000007</v>
      </c>
      <c r="C184" s="1">
        <f>Tabla1[[#This Row],[Peso unitario (gr)]]*100</f>
        <v>830.00000000000011</v>
      </c>
      <c r="D184" s="1">
        <v>63</v>
      </c>
      <c r="E184" s="1">
        <v>0</v>
      </c>
      <c r="F184" s="1">
        <f>Tabla1[[#This Row],[Peso unitario (gr)]]*Tabla1[[#This Row],[Entregadas]]</f>
        <v>0</v>
      </c>
      <c r="G184" s="1">
        <f>Tabla1[[#This Row],[Cantidad total (un)]]-Tabla1[[#This Row],[Entregadas]]</f>
        <v>63</v>
      </c>
      <c r="H184" s="11">
        <f>(Tabla1[[#This Row],[Total disponibles]]*Tabla1[[#This Row],[Peso unitario (gr)]])/1000</f>
        <v>0.52290000000000014</v>
      </c>
      <c r="I184" s="14">
        <f>VLOOKUP(Tabla1[[#This Row],[Referencia]],[1]Hoja1!$A$1:$B$301,2,FALSE)</f>
        <v>900</v>
      </c>
      <c r="J184" s="16">
        <f>Tabla1[[#This Row],[Precio unitario]]*Tabla1[[#This Row],[Total disponibles]]</f>
        <v>56700</v>
      </c>
    </row>
    <row r="185" spans="1:10" x14ac:dyDescent="0.25">
      <c r="A185" s="8" t="s">
        <v>193</v>
      </c>
      <c r="B185" s="1">
        <v>5</v>
      </c>
      <c r="C185" s="1">
        <f>Tabla1[[#This Row],[Peso unitario (gr)]]*100</f>
        <v>500</v>
      </c>
      <c r="D185" s="1">
        <f>1495+86</f>
        <v>1581</v>
      </c>
      <c r="E185" s="1">
        <f>200+100</f>
        <v>300</v>
      </c>
      <c r="F185" s="1">
        <f>Tabla1[[#This Row],[Peso unitario (gr)]]*Tabla1[[#This Row],[Entregadas]]</f>
        <v>1500</v>
      </c>
      <c r="G185" s="1">
        <f>Tabla1[[#This Row],[Cantidad total (un)]]-Tabla1[[#This Row],[Entregadas]]</f>
        <v>1281</v>
      </c>
      <c r="H185" s="11">
        <f>(Tabla1[[#This Row],[Total disponibles]]*Tabla1[[#This Row],[Peso unitario (gr)]])/1000</f>
        <v>6.4050000000000002</v>
      </c>
      <c r="I185" s="14">
        <f>VLOOKUP(Tabla1[[#This Row],[Referencia]],[1]Hoja1!$A$1:$B$301,2,FALSE)</f>
        <v>400</v>
      </c>
      <c r="J185" s="16">
        <f>Tabla1[[#This Row],[Precio unitario]]*Tabla1[[#This Row],[Total disponibles]]</f>
        <v>512400</v>
      </c>
    </row>
    <row r="186" spans="1:10" x14ac:dyDescent="0.25">
      <c r="A186" s="8" t="s">
        <v>194</v>
      </c>
      <c r="B186" s="1">
        <v>15.5</v>
      </c>
      <c r="C186" s="1">
        <f>Tabla1[[#This Row],[Peso unitario (gr)]]*100</f>
        <v>1550</v>
      </c>
      <c r="D186" s="1">
        <f>200+47</f>
        <v>247</v>
      </c>
      <c r="E186" s="1">
        <v>21</v>
      </c>
      <c r="F186" s="1">
        <f>Tabla1[[#This Row],[Peso unitario (gr)]]*Tabla1[[#This Row],[Entregadas]]</f>
        <v>325.5</v>
      </c>
      <c r="G186" s="1">
        <f>Tabla1[[#This Row],[Cantidad total (un)]]-Tabla1[[#This Row],[Entregadas]]</f>
        <v>226</v>
      </c>
      <c r="H186" s="11">
        <f>(Tabla1[[#This Row],[Total disponibles]]*Tabla1[[#This Row],[Peso unitario (gr)]])/1000</f>
        <v>3.5030000000000001</v>
      </c>
      <c r="I186" s="14">
        <f>VLOOKUP(Tabla1[[#This Row],[Referencia]],[1]Hoja1!$A$1:$B$301,2,FALSE)</f>
        <v>200</v>
      </c>
      <c r="J186" s="16">
        <f>Tabla1[[#This Row],[Precio unitario]]*Tabla1[[#This Row],[Total disponibles]]</f>
        <v>45200</v>
      </c>
    </row>
    <row r="187" spans="1:10" x14ac:dyDescent="0.25">
      <c r="A187" s="8" t="s">
        <v>195</v>
      </c>
      <c r="B187" s="1">
        <v>50</v>
      </c>
      <c r="C187" s="1">
        <f>Tabla1[[#This Row],[Peso unitario (gr)]]*100</f>
        <v>5000</v>
      </c>
      <c r="D187" s="1">
        <v>6</v>
      </c>
      <c r="E187" s="1">
        <v>0</v>
      </c>
      <c r="F187" s="1">
        <f>Tabla1[[#This Row],[Peso unitario (gr)]]*Tabla1[[#This Row],[Entregadas]]</f>
        <v>0</v>
      </c>
      <c r="G187" s="1">
        <f>Tabla1[[#This Row],[Cantidad total (un)]]-Tabla1[[#This Row],[Entregadas]]</f>
        <v>6</v>
      </c>
      <c r="H187" s="11">
        <f>(Tabla1[[#This Row],[Total disponibles]]*Tabla1[[#This Row],[Peso unitario (gr)]])/1000</f>
        <v>0.3</v>
      </c>
      <c r="I187" s="14">
        <f>VLOOKUP(Tabla1[[#This Row],[Referencia]],[1]Hoja1!$A$1:$B$301,2,FALSE)</f>
        <v>4500</v>
      </c>
      <c r="J187" s="16">
        <f>Tabla1[[#This Row],[Precio unitario]]*Tabla1[[#This Row],[Total disponibles]]</f>
        <v>27000</v>
      </c>
    </row>
    <row r="188" spans="1:10" x14ac:dyDescent="0.25">
      <c r="A188" s="8" t="s">
        <v>196</v>
      </c>
      <c r="B188" s="1">
        <v>6.7</v>
      </c>
      <c r="C188" s="1">
        <f>Tabla1[[#This Row],[Peso unitario (gr)]]*100</f>
        <v>670</v>
      </c>
      <c r="D188" s="1">
        <f>5447+42+73+68+2456</f>
        <v>8086</v>
      </c>
      <c r="E188" s="1">
        <f>6+20+500+46+200+300+300</f>
        <v>1372</v>
      </c>
      <c r="F188" s="1">
        <f>Tabla1[[#This Row],[Peso unitario (gr)]]*Tabla1[[#This Row],[Entregadas]]</f>
        <v>9192.4</v>
      </c>
      <c r="G188" s="1">
        <f>Tabla1[[#This Row],[Cantidad total (un)]]-Tabla1[[#This Row],[Entregadas]]</f>
        <v>6714</v>
      </c>
      <c r="H188" s="11">
        <f>(Tabla1[[#This Row],[Total disponibles]]*Tabla1[[#This Row],[Peso unitario (gr)]])/1000</f>
        <v>44.983800000000002</v>
      </c>
      <c r="I188" s="14">
        <f>VLOOKUP(Tabla1[[#This Row],[Referencia]],[1]Hoja1!$A$1:$B$301,2,FALSE)</f>
        <v>150</v>
      </c>
      <c r="J188" s="16">
        <f>Tabla1[[#This Row],[Precio unitario]]*Tabla1[[#This Row],[Total disponibles]]</f>
        <v>1007100</v>
      </c>
    </row>
    <row r="189" spans="1:10" x14ac:dyDescent="0.25">
      <c r="A189" s="8" t="s">
        <v>197</v>
      </c>
      <c r="B189" s="1">
        <v>4.55</v>
      </c>
      <c r="C189" s="1">
        <f>Tabla1[[#This Row],[Peso unitario (gr)]]*100</f>
        <v>455</v>
      </c>
      <c r="D189" s="1">
        <f>3730+460+30</f>
        <v>4220</v>
      </c>
      <c r="E189" s="1">
        <f>161+4+500+10+300+300</f>
        <v>1275</v>
      </c>
      <c r="F189" s="1">
        <f>Tabla1[[#This Row],[Peso unitario (gr)]]*Tabla1[[#This Row],[Entregadas]]</f>
        <v>5801.25</v>
      </c>
      <c r="G189" s="1">
        <f>Tabla1[[#This Row],[Cantidad total (un)]]-Tabla1[[#This Row],[Entregadas]]</f>
        <v>2945</v>
      </c>
      <c r="H189" s="11">
        <f>(Tabla1[[#This Row],[Total disponibles]]*Tabla1[[#This Row],[Peso unitario (gr)]])/1000</f>
        <v>13.399749999999999</v>
      </c>
      <c r="I189" s="14">
        <f>VLOOKUP(Tabla1[[#This Row],[Referencia]],[1]Hoja1!$A$1:$B$301,2,FALSE)</f>
        <v>250</v>
      </c>
      <c r="J189" s="16">
        <f>Tabla1[[#This Row],[Precio unitario]]*Tabla1[[#This Row],[Total disponibles]]</f>
        <v>736250</v>
      </c>
    </row>
    <row r="190" spans="1:10" x14ac:dyDescent="0.25">
      <c r="A190" s="8" t="s">
        <v>198</v>
      </c>
      <c r="B190" s="1">
        <v>0.86</v>
      </c>
      <c r="C190" s="1">
        <f>Tabla1[[#This Row],[Peso unitario (gr)]]*100</f>
        <v>86</v>
      </c>
      <c r="D190" s="1">
        <v>280</v>
      </c>
      <c r="E190" s="1">
        <v>0</v>
      </c>
      <c r="F190" s="1">
        <f>Tabla1[[#This Row],[Peso unitario (gr)]]*Tabla1[[#This Row],[Entregadas]]</f>
        <v>0</v>
      </c>
      <c r="G190" s="1">
        <f>Tabla1[[#This Row],[Cantidad total (un)]]-Tabla1[[#This Row],[Entregadas]]</f>
        <v>280</v>
      </c>
      <c r="H190" s="11">
        <f>(Tabla1[[#This Row],[Total disponibles]]*Tabla1[[#This Row],[Peso unitario (gr)]])/1000</f>
        <v>0.24079999999999999</v>
      </c>
      <c r="I190" s="14">
        <f>VLOOKUP(Tabla1[[#This Row],[Referencia]],[1]Hoja1!$A$1:$B$301,2,FALSE)</f>
        <v>417</v>
      </c>
      <c r="J190" s="16">
        <f>Tabla1[[#This Row],[Precio unitario]]*Tabla1[[#This Row],[Total disponibles]]</f>
        <v>116760</v>
      </c>
    </row>
    <row r="191" spans="1:10" x14ac:dyDescent="0.25">
      <c r="A191" s="8" t="s">
        <v>199</v>
      </c>
      <c r="B191" s="1">
        <v>12</v>
      </c>
      <c r="C191" s="1">
        <f>Tabla1[[#This Row],[Peso unitario (gr)]]*100</f>
        <v>1200</v>
      </c>
      <c r="D191" s="1">
        <v>269</v>
      </c>
      <c r="E191" s="1">
        <v>33</v>
      </c>
      <c r="F191" s="1">
        <f>Tabla1[[#This Row],[Peso unitario (gr)]]*Tabla1[[#This Row],[Entregadas]]</f>
        <v>396</v>
      </c>
      <c r="G191" s="1">
        <f>Tabla1[[#This Row],[Cantidad total (un)]]-Tabla1[[#This Row],[Entregadas]]</f>
        <v>236</v>
      </c>
      <c r="H191" s="11">
        <f>(Tabla1[[#This Row],[Total disponibles]]*Tabla1[[#This Row],[Peso unitario (gr)]])/1000</f>
        <v>2.8319999999999999</v>
      </c>
      <c r="I191" s="14">
        <f>VLOOKUP(Tabla1[[#This Row],[Referencia]],[1]Hoja1!$A$1:$B$301,2,FALSE)</f>
        <v>130</v>
      </c>
      <c r="J191" s="16">
        <f>Tabla1[[#This Row],[Precio unitario]]*Tabla1[[#This Row],[Total disponibles]]</f>
        <v>30680</v>
      </c>
    </row>
    <row r="192" spans="1:10" x14ac:dyDescent="0.25">
      <c r="A192" s="8" t="s">
        <v>200</v>
      </c>
      <c r="B192" s="1">
        <v>3.6</v>
      </c>
      <c r="C192" s="1">
        <f>Tabla1[[#This Row],[Peso unitario (gr)]]*100</f>
        <v>360</v>
      </c>
      <c r="D192" s="1">
        <v>130</v>
      </c>
      <c r="E192" s="1">
        <v>0</v>
      </c>
      <c r="F192" s="1">
        <f>Tabla1[[#This Row],[Peso unitario (gr)]]*Tabla1[[#This Row],[Entregadas]]</f>
        <v>0</v>
      </c>
      <c r="G192" s="1">
        <f>Tabla1[[#This Row],[Cantidad total (un)]]-Tabla1[[#This Row],[Entregadas]]</f>
        <v>130</v>
      </c>
      <c r="H192" s="11">
        <f>(Tabla1[[#This Row],[Total disponibles]]*Tabla1[[#This Row],[Peso unitario (gr)]])/1000</f>
        <v>0.46800000000000003</v>
      </c>
      <c r="I192" s="14">
        <f>VLOOKUP(Tabla1[[#This Row],[Referencia]],[1]Hoja1!$A$1:$B$301,2,FALSE)</f>
        <v>500</v>
      </c>
      <c r="J192" s="16">
        <f>Tabla1[[#This Row],[Precio unitario]]*Tabla1[[#This Row],[Total disponibles]]</f>
        <v>65000</v>
      </c>
    </row>
    <row r="193" spans="1:10" x14ac:dyDescent="0.25">
      <c r="A193" s="8" t="s">
        <v>201</v>
      </c>
      <c r="B193" s="1">
        <v>3.1</v>
      </c>
      <c r="C193" s="1">
        <f>Tabla1[[#This Row],[Peso unitario (gr)]]*100</f>
        <v>310</v>
      </c>
      <c r="D193" s="1">
        <f>97+136</f>
        <v>233</v>
      </c>
      <c r="E193" s="1">
        <v>0</v>
      </c>
      <c r="F193" s="1">
        <f>Tabla1[[#This Row],[Peso unitario (gr)]]*Tabla1[[#This Row],[Entregadas]]</f>
        <v>0</v>
      </c>
      <c r="G193" s="1">
        <f>Tabla1[[#This Row],[Cantidad total (un)]]-Tabla1[[#This Row],[Entregadas]]</f>
        <v>233</v>
      </c>
      <c r="H193" s="11">
        <f>(Tabla1[[#This Row],[Total disponibles]]*Tabla1[[#This Row],[Peso unitario (gr)]])/1000</f>
        <v>0.72230000000000005</v>
      </c>
      <c r="I193" s="14">
        <f>VLOOKUP(Tabla1[[#This Row],[Referencia]],[1]Hoja1!$A$1:$B$301,2,FALSE)</f>
        <v>200</v>
      </c>
      <c r="J193" s="16">
        <f>Tabla1[[#This Row],[Precio unitario]]*Tabla1[[#This Row],[Total disponibles]]</f>
        <v>46600</v>
      </c>
    </row>
    <row r="194" spans="1:10" x14ac:dyDescent="0.25">
      <c r="A194" s="8" t="s">
        <v>202</v>
      </c>
      <c r="B194" s="1">
        <v>3.05</v>
      </c>
      <c r="C194" s="1">
        <f>Tabla1[[#This Row],[Peso unitario (gr)]]*100</f>
        <v>305</v>
      </c>
      <c r="D194" s="1">
        <f>1481+109+51+40+500</f>
        <v>2181</v>
      </c>
      <c r="E194" s="1">
        <f>2+2+48+700+200</f>
        <v>952</v>
      </c>
      <c r="F194" s="1">
        <f>Tabla1[[#This Row],[Peso unitario (gr)]]*Tabla1[[#This Row],[Entregadas]]</f>
        <v>2903.6</v>
      </c>
      <c r="G194" s="1">
        <f>Tabla1[[#This Row],[Cantidad total (un)]]-Tabla1[[#This Row],[Entregadas]]</f>
        <v>1229</v>
      </c>
      <c r="H194" s="11">
        <f>(Tabla1[[#This Row],[Total disponibles]]*Tabla1[[#This Row],[Peso unitario (gr)]])/1000</f>
        <v>3.7484499999999996</v>
      </c>
      <c r="I194" s="14">
        <f>VLOOKUP(Tabla1[[#This Row],[Referencia]],[1]Hoja1!$A$1:$B$301,2,FALSE)</f>
        <v>145</v>
      </c>
      <c r="J194" s="16">
        <f>Tabla1[[#This Row],[Precio unitario]]*Tabla1[[#This Row],[Total disponibles]]</f>
        <v>178205</v>
      </c>
    </row>
    <row r="195" spans="1:10" x14ac:dyDescent="0.25">
      <c r="A195" s="8" t="s">
        <v>203</v>
      </c>
      <c r="B195" s="1">
        <v>3.1</v>
      </c>
      <c r="C195" s="1">
        <f>Tabla1[[#This Row],[Peso unitario (gr)]]*100</f>
        <v>310</v>
      </c>
      <c r="D195" s="1">
        <v>289</v>
      </c>
      <c r="E195" s="1">
        <v>0</v>
      </c>
      <c r="F195" s="1">
        <f>Tabla1[[#This Row],[Peso unitario (gr)]]*Tabla1[[#This Row],[Entregadas]]</f>
        <v>0</v>
      </c>
      <c r="G195" s="1">
        <f>Tabla1[[#This Row],[Cantidad total (un)]]-Tabla1[[#This Row],[Entregadas]]</f>
        <v>289</v>
      </c>
      <c r="H195" s="11">
        <f>(Tabla1[[#This Row],[Total disponibles]]*Tabla1[[#This Row],[Peso unitario (gr)]])/1000</f>
        <v>0.89590000000000003</v>
      </c>
      <c r="I195" s="14">
        <f>VLOOKUP(Tabla1[[#This Row],[Referencia]],[1]Hoja1!$A$1:$B$301,2,FALSE)</f>
        <v>145</v>
      </c>
      <c r="J195" s="16">
        <f>Tabla1[[#This Row],[Precio unitario]]*Tabla1[[#This Row],[Total disponibles]]</f>
        <v>41905</v>
      </c>
    </row>
    <row r="196" spans="1:10" x14ac:dyDescent="0.25">
      <c r="A196" s="8" t="s">
        <v>204</v>
      </c>
      <c r="B196" s="1">
        <v>4.8</v>
      </c>
      <c r="C196" s="1">
        <f>Tabla1[[#This Row],[Peso unitario (gr)]]*100</f>
        <v>480</v>
      </c>
      <c r="D196" s="1">
        <f>1387+148+98</f>
        <v>1633</v>
      </c>
      <c r="E196" s="1">
        <v>0</v>
      </c>
      <c r="F196" s="1">
        <f>Tabla1[[#This Row],[Peso unitario (gr)]]*Tabla1[[#This Row],[Entregadas]]</f>
        <v>0</v>
      </c>
      <c r="G196" s="1">
        <f>Tabla1[[#This Row],[Cantidad total (un)]]-Tabla1[[#This Row],[Entregadas]]</f>
        <v>1633</v>
      </c>
      <c r="H196" s="11">
        <f>(Tabla1[[#This Row],[Total disponibles]]*Tabla1[[#This Row],[Peso unitario (gr)]])/1000</f>
        <v>7.8384</v>
      </c>
      <c r="I196" s="14">
        <f>VLOOKUP(Tabla1[[#This Row],[Referencia]],[1]Hoja1!$A$1:$B$301,2,FALSE)</f>
        <v>180</v>
      </c>
      <c r="J196" s="16">
        <f>Tabla1[[#This Row],[Precio unitario]]*Tabla1[[#This Row],[Total disponibles]]</f>
        <v>293940</v>
      </c>
    </row>
    <row r="197" spans="1:10" x14ac:dyDescent="0.25">
      <c r="A197" s="8" t="s">
        <v>205</v>
      </c>
      <c r="B197" s="1">
        <v>31.5</v>
      </c>
      <c r="C197" s="1">
        <f>Tabla1[[#This Row],[Peso unitario (gr)]]*100</f>
        <v>3150</v>
      </c>
      <c r="D197" s="1">
        <v>90</v>
      </c>
      <c r="E197" s="1">
        <v>0</v>
      </c>
      <c r="F197" s="1">
        <f>Tabla1[[#This Row],[Peso unitario (gr)]]*Tabla1[[#This Row],[Entregadas]]</f>
        <v>0</v>
      </c>
      <c r="G197" s="1">
        <f>Tabla1[[#This Row],[Cantidad total (un)]]-Tabla1[[#This Row],[Entregadas]]</f>
        <v>90</v>
      </c>
      <c r="H197" s="11">
        <f>(Tabla1[[#This Row],[Total disponibles]]*Tabla1[[#This Row],[Peso unitario (gr)]])/1000</f>
        <v>2.835</v>
      </c>
      <c r="I197" s="14">
        <f>VLOOKUP(Tabla1[[#This Row],[Referencia]],[1]Hoja1!$A$1:$B$301,2,FALSE)</f>
        <v>600</v>
      </c>
      <c r="J197" s="16">
        <f>Tabla1[[#This Row],[Precio unitario]]*Tabla1[[#This Row],[Total disponibles]]</f>
        <v>54000</v>
      </c>
    </row>
    <row r="198" spans="1:10" x14ac:dyDescent="0.25">
      <c r="A198" s="8" t="s">
        <v>206</v>
      </c>
      <c r="B198" s="1">
        <v>15.3</v>
      </c>
      <c r="C198" s="1">
        <f>Tabla1[[#This Row],[Peso unitario (gr)]]*100</f>
        <v>1530</v>
      </c>
      <c r="D198" s="1">
        <v>48</v>
      </c>
      <c r="E198" s="1">
        <v>0</v>
      </c>
      <c r="F198" s="1">
        <f>Tabla1[[#This Row],[Peso unitario (gr)]]*Tabla1[[#This Row],[Entregadas]]</f>
        <v>0</v>
      </c>
      <c r="G198" s="1">
        <f>Tabla1[[#This Row],[Cantidad total (un)]]-Tabla1[[#This Row],[Entregadas]]</f>
        <v>48</v>
      </c>
      <c r="H198" s="11">
        <f>(Tabla1[[#This Row],[Total disponibles]]*Tabla1[[#This Row],[Peso unitario (gr)]])/1000</f>
        <v>0.73440000000000005</v>
      </c>
      <c r="I198" s="14">
        <f>VLOOKUP(Tabla1[[#This Row],[Referencia]],[1]Hoja1!$A$1:$B$301,2,FALSE)</f>
        <v>200</v>
      </c>
      <c r="J198" s="16">
        <f>Tabla1[[#This Row],[Precio unitario]]*Tabla1[[#This Row],[Total disponibles]]</f>
        <v>9600</v>
      </c>
    </row>
    <row r="199" spans="1:10" x14ac:dyDescent="0.25">
      <c r="A199" s="8" t="s">
        <v>207</v>
      </c>
      <c r="B199" s="1">
        <v>3.5</v>
      </c>
      <c r="C199" s="1">
        <f>Tabla1[[#This Row],[Peso unitario (gr)]]*100</f>
        <v>350</v>
      </c>
      <c r="D199" s="1">
        <v>95</v>
      </c>
      <c r="E199" s="1">
        <v>95</v>
      </c>
      <c r="F199" s="1">
        <f>Tabla1[[#This Row],[Peso unitario (gr)]]*Tabla1[[#This Row],[Entregadas]]</f>
        <v>332.5</v>
      </c>
      <c r="G199" s="1">
        <f>Tabla1[[#This Row],[Cantidad total (un)]]-Tabla1[[#This Row],[Entregadas]]</f>
        <v>0</v>
      </c>
      <c r="H199" s="11">
        <f>(Tabla1[[#This Row],[Total disponibles]]*Tabla1[[#This Row],[Peso unitario (gr)]])/1000</f>
        <v>0</v>
      </c>
      <c r="I199" s="14">
        <f>VLOOKUP(Tabla1[[#This Row],[Referencia]],[1]Hoja1!$A$1:$B$301,2,FALSE)</f>
        <v>476</v>
      </c>
      <c r="J199" s="16">
        <f>Tabla1[[#This Row],[Precio unitario]]*Tabla1[[#This Row],[Total disponibles]]</f>
        <v>0</v>
      </c>
    </row>
    <row r="200" spans="1:10" x14ac:dyDescent="0.25">
      <c r="A200" s="8" t="s">
        <v>208</v>
      </c>
      <c r="B200" s="1">
        <v>5.0999999999999996</v>
      </c>
      <c r="C200" s="1">
        <f>Tabla1[[#This Row],[Peso unitario (gr)]]*100</f>
        <v>509.99999999999994</v>
      </c>
      <c r="D200" s="1">
        <f>401+100</f>
        <v>501</v>
      </c>
      <c r="E200" s="1">
        <v>0</v>
      </c>
      <c r="F200" s="1">
        <f>Tabla1[[#This Row],[Peso unitario (gr)]]*Tabla1[[#This Row],[Entregadas]]</f>
        <v>0</v>
      </c>
      <c r="G200" s="1">
        <f>Tabla1[[#This Row],[Cantidad total (un)]]-Tabla1[[#This Row],[Entregadas]]</f>
        <v>501</v>
      </c>
      <c r="H200" s="11">
        <f>(Tabla1[[#This Row],[Total disponibles]]*Tabla1[[#This Row],[Peso unitario (gr)]])/1000</f>
        <v>2.5550999999999999</v>
      </c>
      <c r="I200" s="14">
        <f>VLOOKUP(Tabla1[[#This Row],[Referencia]],[1]Hoja1!$A$1:$B$301,2,FALSE)</f>
        <v>150</v>
      </c>
      <c r="J200" s="16">
        <f>Tabla1[[#This Row],[Precio unitario]]*Tabla1[[#This Row],[Total disponibles]]</f>
        <v>75150</v>
      </c>
    </row>
    <row r="201" spans="1:10" x14ac:dyDescent="0.25">
      <c r="A201" s="8" t="s">
        <v>209</v>
      </c>
      <c r="B201" s="1">
        <v>4.4000000000000004</v>
      </c>
      <c r="C201" s="1">
        <f>Tabla1[[#This Row],[Peso unitario (gr)]]*100</f>
        <v>440.00000000000006</v>
      </c>
      <c r="D201" s="1">
        <v>1370</v>
      </c>
      <c r="E201" s="1">
        <f>100+4+200</f>
        <v>304</v>
      </c>
      <c r="F201" s="1">
        <f>Tabla1[[#This Row],[Peso unitario (gr)]]*Tabla1[[#This Row],[Entregadas]]</f>
        <v>1337.6000000000001</v>
      </c>
      <c r="G201" s="1">
        <f>Tabla1[[#This Row],[Cantidad total (un)]]-Tabla1[[#This Row],[Entregadas]]</f>
        <v>1066</v>
      </c>
      <c r="H201" s="11">
        <f>(Tabla1[[#This Row],[Total disponibles]]*Tabla1[[#This Row],[Peso unitario (gr)]])/1000</f>
        <v>4.6904000000000003</v>
      </c>
      <c r="I201" s="14">
        <f>VLOOKUP(Tabla1[[#This Row],[Referencia]],[1]Hoja1!$A$1:$B$301,2,FALSE)</f>
        <v>350</v>
      </c>
      <c r="J201" s="16">
        <f>Tabla1[[#This Row],[Precio unitario]]*Tabla1[[#This Row],[Total disponibles]]</f>
        <v>373100</v>
      </c>
    </row>
    <row r="202" spans="1:10" x14ac:dyDescent="0.25">
      <c r="A202" s="8" t="s">
        <v>210</v>
      </c>
      <c r="B202" s="1">
        <v>6</v>
      </c>
      <c r="C202" s="1">
        <f>Tabla1[[#This Row],[Peso unitario (gr)]]*100</f>
        <v>600</v>
      </c>
      <c r="D202" s="1">
        <v>100</v>
      </c>
      <c r="E202" s="1">
        <v>0</v>
      </c>
      <c r="F202" s="1">
        <f>Tabla1[[#This Row],[Peso unitario (gr)]]*Tabla1[[#This Row],[Entregadas]]</f>
        <v>0</v>
      </c>
      <c r="G202" s="1">
        <f>Tabla1[[#This Row],[Cantidad total (un)]]-Tabla1[[#This Row],[Entregadas]]</f>
        <v>100</v>
      </c>
      <c r="H202" s="11">
        <f>(Tabla1[[#This Row],[Total disponibles]]*Tabla1[[#This Row],[Peso unitario (gr)]])/1000</f>
        <v>0.6</v>
      </c>
      <c r="I202" s="14">
        <f>VLOOKUP(Tabla1[[#This Row],[Referencia]],[1]Hoja1!$A$1:$B$301,2,FALSE)</f>
        <v>300</v>
      </c>
      <c r="J202" s="16">
        <f>Tabla1[[#This Row],[Precio unitario]]*Tabla1[[#This Row],[Total disponibles]]</f>
        <v>30000</v>
      </c>
    </row>
    <row r="203" spans="1:10" x14ac:dyDescent="0.25">
      <c r="A203" s="8" t="s">
        <v>211</v>
      </c>
      <c r="B203" s="1">
        <v>3.8</v>
      </c>
      <c r="C203" s="1">
        <f>Tabla1[[#This Row],[Peso unitario (gr)]]*100</f>
        <v>380</v>
      </c>
      <c r="D203" s="1">
        <v>185</v>
      </c>
      <c r="E203" s="1">
        <v>0</v>
      </c>
      <c r="F203" s="1">
        <f>Tabla1[[#This Row],[Peso unitario (gr)]]*Tabla1[[#This Row],[Entregadas]]</f>
        <v>0</v>
      </c>
      <c r="G203" s="1">
        <f>Tabla1[[#This Row],[Cantidad total (un)]]-Tabla1[[#This Row],[Entregadas]]</f>
        <v>185</v>
      </c>
      <c r="H203" s="11">
        <f>(Tabla1[[#This Row],[Total disponibles]]*Tabla1[[#This Row],[Peso unitario (gr)]])/1000</f>
        <v>0.70299999999999996</v>
      </c>
      <c r="I203" s="14">
        <f>VLOOKUP(Tabla1[[#This Row],[Referencia]],[1]Hoja1!$A$1:$B$301,2,FALSE)</f>
        <v>350</v>
      </c>
      <c r="J203" s="16">
        <f>Tabla1[[#This Row],[Precio unitario]]*Tabla1[[#This Row],[Total disponibles]]</f>
        <v>64750</v>
      </c>
    </row>
    <row r="204" spans="1:10" x14ac:dyDescent="0.25">
      <c r="A204" s="8" t="s">
        <v>212</v>
      </c>
      <c r="B204" s="1">
        <v>0</v>
      </c>
      <c r="C204" s="1">
        <f>Tabla1[[#This Row],[Peso unitario (gr)]]*100</f>
        <v>0</v>
      </c>
      <c r="D204" s="1">
        <v>0</v>
      </c>
      <c r="E204" s="1">
        <v>0</v>
      </c>
      <c r="F204" s="1">
        <f>Tabla1[[#This Row],[Peso unitario (gr)]]*Tabla1[[#This Row],[Entregadas]]</f>
        <v>0</v>
      </c>
      <c r="G204" s="1">
        <f>Tabla1[[#This Row],[Cantidad total (un)]]-Tabla1[[#This Row],[Entregadas]]</f>
        <v>0</v>
      </c>
      <c r="H204" s="11">
        <f>(Tabla1[[#This Row],[Total disponibles]]*Tabla1[[#This Row],[Peso unitario (gr)]])/1000</f>
        <v>0</v>
      </c>
      <c r="I204" s="14">
        <f>VLOOKUP(Tabla1[[#This Row],[Referencia]],[1]Hoja1!$A$1:$B$301,2,FALSE)</f>
        <v>22000</v>
      </c>
      <c r="J204" s="16">
        <f>Tabla1[[#This Row],[Precio unitario]]*Tabla1[[#This Row],[Total disponibles]]</f>
        <v>0</v>
      </c>
    </row>
    <row r="205" spans="1:10" x14ac:dyDescent="0.25">
      <c r="A205" s="8" t="s">
        <v>213</v>
      </c>
      <c r="B205" s="1">
        <v>0</v>
      </c>
      <c r="C205" s="1">
        <f>Tabla1[[#This Row],[Peso unitario (gr)]]*100</f>
        <v>0</v>
      </c>
      <c r="D205" s="1">
        <v>0</v>
      </c>
      <c r="E205" s="1">
        <v>0</v>
      </c>
      <c r="F205" s="1">
        <f>Tabla1[[#This Row],[Peso unitario (gr)]]*Tabla1[[#This Row],[Entregadas]]</f>
        <v>0</v>
      </c>
      <c r="G205" s="1">
        <f>Tabla1[[#This Row],[Cantidad total (un)]]-Tabla1[[#This Row],[Entregadas]]</f>
        <v>0</v>
      </c>
      <c r="H205" s="11">
        <f>(Tabla1[[#This Row],[Total disponibles]]*Tabla1[[#This Row],[Peso unitario (gr)]])/1000</f>
        <v>0</v>
      </c>
      <c r="I205" s="14">
        <f>VLOOKUP(Tabla1[[#This Row],[Referencia]],[1]Hoja1!$A$1:$B$301,2,FALSE)</f>
        <v>22000</v>
      </c>
      <c r="J205" s="16">
        <f>Tabla1[[#This Row],[Precio unitario]]*Tabla1[[#This Row],[Total disponibles]]</f>
        <v>0</v>
      </c>
    </row>
    <row r="206" spans="1:10" x14ac:dyDescent="0.25">
      <c r="A206" s="8" t="s">
        <v>214</v>
      </c>
      <c r="B206" s="1">
        <v>0</v>
      </c>
      <c r="C206" s="1">
        <f>Tabla1[[#This Row],[Peso unitario (gr)]]*100</f>
        <v>0</v>
      </c>
      <c r="D206" s="1">
        <v>0</v>
      </c>
      <c r="E206" s="1">
        <v>0</v>
      </c>
      <c r="F206" s="1">
        <f>Tabla1[[#This Row],[Peso unitario (gr)]]*Tabla1[[#This Row],[Entregadas]]</f>
        <v>0</v>
      </c>
      <c r="G206" s="1">
        <f>Tabla1[[#This Row],[Cantidad total (un)]]-Tabla1[[#This Row],[Entregadas]]</f>
        <v>0</v>
      </c>
      <c r="H206" s="11">
        <f>(Tabla1[[#This Row],[Total disponibles]]*Tabla1[[#This Row],[Peso unitario (gr)]])/1000</f>
        <v>0</v>
      </c>
      <c r="I206" s="14">
        <f>VLOOKUP(Tabla1[[#This Row],[Referencia]],[1]Hoja1!$A$1:$B$301,2,FALSE)</f>
        <v>31900</v>
      </c>
      <c r="J206" s="16">
        <f>Tabla1[[#This Row],[Precio unitario]]*Tabla1[[#This Row],[Total disponibles]]</f>
        <v>0</v>
      </c>
    </row>
    <row r="207" spans="1:10" x14ac:dyDescent="0.25">
      <c r="A207" s="8" t="s">
        <v>215</v>
      </c>
      <c r="B207" s="1">
        <v>0</v>
      </c>
      <c r="C207" s="1">
        <f>Tabla1[[#This Row],[Peso unitario (gr)]]*100</f>
        <v>0</v>
      </c>
      <c r="D207" s="1">
        <v>0</v>
      </c>
      <c r="E207" s="1">
        <v>0</v>
      </c>
      <c r="F207" s="1">
        <f>Tabla1[[#This Row],[Peso unitario (gr)]]*Tabla1[[#This Row],[Entregadas]]</f>
        <v>0</v>
      </c>
      <c r="G207" s="1">
        <f>Tabla1[[#This Row],[Cantidad total (un)]]-Tabla1[[#This Row],[Entregadas]]</f>
        <v>0</v>
      </c>
      <c r="H207" s="11">
        <f>(Tabla1[[#This Row],[Total disponibles]]*Tabla1[[#This Row],[Peso unitario (gr)]])/1000</f>
        <v>0</v>
      </c>
      <c r="I207" s="14">
        <f>VLOOKUP(Tabla1[[#This Row],[Referencia]],[1]Hoja1!$A$1:$B$301,2,FALSE)</f>
        <v>32000</v>
      </c>
      <c r="J207" s="16">
        <f>Tabla1[[#This Row],[Precio unitario]]*Tabla1[[#This Row],[Total disponibles]]</f>
        <v>0</v>
      </c>
    </row>
    <row r="208" spans="1:10" x14ac:dyDescent="0.25">
      <c r="A208" s="8" t="s">
        <v>216</v>
      </c>
      <c r="B208" s="1">
        <v>0</v>
      </c>
      <c r="C208" s="1">
        <f>Tabla1[[#This Row],[Peso unitario (gr)]]*100</f>
        <v>0</v>
      </c>
      <c r="D208" s="1">
        <v>0</v>
      </c>
      <c r="E208" s="1">
        <v>0</v>
      </c>
      <c r="F208" s="1">
        <f>Tabla1[[#This Row],[Peso unitario (gr)]]*Tabla1[[#This Row],[Entregadas]]</f>
        <v>0</v>
      </c>
      <c r="G208" s="1">
        <f>Tabla1[[#This Row],[Cantidad total (un)]]-Tabla1[[#This Row],[Entregadas]]</f>
        <v>0</v>
      </c>
      <c r="H208" s="11">
        <f>(Tabla1[[#This Row],[Total disponibles]]*Tabla1[[#This Row],[Peso unitario (gr)]])/1000</f>
        <v>0</v>
      </c>
      <c r="I208" s="14">
        <f>VLOOKUP(Tabla1[[#This Row],[Referencia]],[1]Hoja1!$A$1:$B$301,2,FALSE)</f>
        <v>55000</v>
      </c>
      <c r="J208" s="16">
        <f>Tabla1[[#This Row],[Precio unitario]]*Tabla1[[#This Row],[Total disponibles]]</f>
        <v>0</v>
      </c>
    </row>
    <row r="209" spans="1:10" x14ac:dyDescent="0.25">
      <c r="A209" s="8" t="s">
        <v>217</v>
      </c>
      <c r="B209" s="1">
        <v>0</v>
      </c>
      <c r="C209" s="1">
        <f>Tabla1[[#This Row],[Peso unitario (gr)]]*100</f>
        <v>0</v>
      </c>
      <c r="D209" s="1">
        <v>0</v>
      </c>
      <c r="E209" s="1">
        <v>0</v>
      </c>
      <c r="F209" s="1">
        <f>Tabla1[[#This Row],[Peso unitario (gr)]]*Tabla1[[#This Row],[Entregadas]]</f>
        <v>0</v>
      </c>
      <c r="G209" s="1">
        <f>Tabla1[[#This Row],[Cantidad total (un)]]-Tabla1[[#This Row],[Entregadas]]</f>
        <v>0</v>
      </c>
      <c r="H209" s="11">
        <f>(Tabla1[[#This Row],[Total disponibles]]*Tabla1[[#This Row],[Peso unitario (gr)]])/1000</f>
        <v>0</v>
      </c>
      <c r="I209" s="14">
        <f>VLOOKUP(Tabla1[[#This Row],[Referencia]],[1]Hoja1!$A$1:$B$301,2,FALSE)</f>
        <v>22000</v>
      </c>
      <c r="J209" s="16">
        <f>Tabla1[[#This Row],[Precio unitario]]*Tabla1[[#This Row],[Total disponibles]]</f>
        <v>0</v>
      </c>
    </row>
    <row r="210" spans="1:10" x14ac:dyDescent="0.25">
      <c r="A210" s="9" t="s">
        <v>218</v>
      </c>
      <c r="B210" s="4">
        <f>SUBTOTAL(109,Tabla1[Peso unitario (gr)])</f>
        <v>6988.3300000000054</v>
      </c>
      <c r="C210" s="4">
        <f>SUBTOTAL(109,Tabla1[Peso x 100 (gr)])</f>
        <v>637633</v>
      </c>
      <c r="D210" s="4">
        <f>SUBTOTAL(109,Tabla1[Cantidad total (un)])</f>
        <v>99772</v>
      </c>
      <c r="E210" s="3">
        <f>SUBTOTAL(109,Tabla1[Entregadas])</f>
        <v>27709</v>
      </c>
      <c r="F210" s="3">
        <f>SUBTOTAL(109,Tabla1[Peso entregadas (kg)])</f>
        <v>643966.17000000004</v>
      </c>
      <c r="G210" s="3">
        <f>SUBTOTAL(109,Tabla1[Total disponibles])</f>
        <v>72063</v>
      </c>
      <c r="H210" s="12">
        <f>SUBTOTAL(109,Tabla1[Peso total (kg)])</f>
        <v>847.44015000000002</v>
      </c>
      <c r="I210" s="18">
        <f>SUBTOTAL(109,Tabla1[Precio unitario])</f>
        <v>3535245</v>
      </c>
      <c r="J210" s="17">
        <f>SUBTOTAL(109,Tabla1[Precio Total])</f>
        <v>58310116</v>
      </c>
    </row>
  </sheetData>
  <phoneticPr fontId="2" type="noConversion"/>
  <conditionalFormatting sqref="G211:G1048576 G1:G209">
    <cfRule type="colorScale" priority="3">
      <colorScale>
        <cfvo type="num" val="50"/>
        <cfvo type="num" val="199"/>
        <cfvo type="num" val="300"/>
        <color rgb="FFFF0000"/>
        <color rgb="FFFFFF00"/>
        <color rgb="FF00B050"/>
      </colorScale>
    </cfRule>
  </conditionalFormatting>
  <conditionalFormatting sqref="A1:A1048576">
    <cfRule type="duplicateValues" dxfId="25" priority="2"/>
  </conditionalFormatting>
  <conditionalFormatting sqref="J2:J20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ing calidad</dc:creator>
  <cp:keywords/>
  <dc:description/>
  <cp:lastModifiedBy>Calidad Inventario</cp:lastModifiedBy>
  <cp:revision/>
  <dcterms:created xsi:type="dcterms:W3CDTF">2025-10-15T07:56:18Z</dcterms:created>
  <dcterms:modified xsi:type="dcterms:W3CDTF">2026-02-27T20:09:49Z</dcterms:modified>
  <cp:category/>
  <cp:contentStatus/>
</cp:coreProperties>
</file>